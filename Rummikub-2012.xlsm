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1950284726d002d/Dokumenter/Python Scripts/"/>
    </mc:Choice>
  </mc:AlternateContent>
  <xr:revisionPtr revIDLastSave="0" documentId="13_ncr:1_{7CC1C065-BBE6-49A2-9480-2CC507755548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2009" sheetId="1" r:id="rId1"/>
    <sheet name="2011" sheetId="12" r:id="rId2"/>
    <sheet name="2012" sheetId="13" r:id="rId3"/>
    <sheet name="2015" sheetId="14" r:id="rId4"/>
    <sheet name="2018" sheetId="15" r:id="rId5"/>
    <sheet name="2022" sheetId="16" r:id="rId6"/>
    <sheet name="2023" sheetId="18" r:id="rId7"/>
    <sheet name="Regler" sheetId="4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18" l="1"/>
  <c r="P11" i="18"/>
  <c r="P10" i="18"/>
  <c r="U10" i="18" s="1"/>
  <c r="P7" i="18"/>
  <c r="U7" i="18"/>
  <c r="O12" i="18"/>
  <c r="O15" i="18"/>
  <c r="N8" i="18"/>
  <c r="N11" i="18"/>
  <c r="U11" i="18" s="1"/>
  <c r="N18" i="18"/>
  <c r="U18" i="18" s="1"/>
  <c r="M6" i="18"/>
  <c r="M5" i="18"/>
  <c r="L10" i="18"/>
  <c r="L6" i="18"/>
  <c r="U6" i="18"/>
  <c r="K8" i="18"/>
  <c r="U8" i="18" s="1"/>
  <c r="K6" i="18"/>
  <c r="K5" i="18"/>
  <c r="P30" i="18"/>
  <c r="J30" i="18"/>
  <c r="M28" i="18"/>
  <c r="X21" i="18"/>
  <c r="U23" i="18"/>
  <c r="X17" i="18"/>
  <c r="U22" i="18"/>
  <c r="X8" i="18"/>
  <c r="U21" i="18"/>
  <c r="X23" i="18"/>
  <c r="X13" i="18"/>
  <c r="X9" i="18"/>
  <c r="X19" i="18"/>
  <c r="X12" i="18"/>
  <c r="U9" i="18"/>
  <c r="X15" i="18"/>
  <c r="X20" i="18"/>
  <c r="U13" i="18"/>
  <c r="X7" i="18"/>
  <c r="U20" i="18"/>
  <c r="X11" i="18"/>
  <c r="U12" i="18"/>
  <c r="X10" i="18"/>
  <c r="X16" i="18"/>
  <c r="X5" i="18"/>
  <c r="U16" i="18"/>
  <c r="X18" i="18"/>
  <c r="U17" i="18"/>
  <c r="X22" i="18"/>
  <c r="U14" i="18"/>
  <c r="X14" i="18"/>
  <c r="U19" i="18"/>
  <c r="X6" i="18"/>
  <c r="U15" i="18"/>
  <c r="S18" i="16"/>
  <c r="U18" i="16" s="1"/>
  <c r="S12" i="16"/>
  <c r="S5" i="16"/>
  <c r="R5" i="16"/>
  <c r="R17" i="16"/>
  <c r="U17" i="16" s="1"/>
  <c r="R9" i="16"/>
  <c r="Q16" i="16"/>
  <c r="Q14" i="16"/>
  <c r="Q5" i="16"/>
  <c r="Q12" i="16"/>
  <c r="P19" i="16"/>
  <c r="U19" i="16" s="1"/>
  <c r="P11" i="16"/>
  <c r="U11" i="16" s="1"/>
  <c r="P8" i="16"/>
  <c r="P6" i="16"/>
  <c r="O7" i="16"/>
  <c r="U7" i="16" s="1"/>
  <c r="O9" i="16"/>
  <c r="O15" i="16"/>
  <c r="N16" i="16"/>
  <c r="U8" i="16"/>
  <c r="N15" i="16"/>
  <c r="N5" i="16"/>
  <c r="M13" i="16"/>
  <c r="U10" i="16"/>
  <c r="L6" i="16"/>
  <c r="L5" i="16"/>
  <c r="U5" i="16" s="1"/>
  <c r="X23" i="16"/>
  <c r="X7" i="16"/>
  <c r="X6" i="16"/>
  <c r="X12" i="16"/>
  <c r="X21" i="16"/>
  <c r="M28" i="16"/>
  <c r="P30" i="16"/>
  <c r="J30" i="16"/>
  <c r="U20" i="16"/>
  <c r="U12" i="16"/>
  <c r="X16" i="16"/>
  <c r="U22" i="16"/>
  <c r="X8" i="16"/>
  <c r="U23" i="16"/>
  <c r="X18" i="16"/>
  <c r="U21" i="16"/>
  <c r="X13" i="16"/>
  <c r="X15" i="16"/>
  <c r="X11" i="16"/>
  <c r="U6" i="16"/>
  <c r="X19" i="16"/>
  <c r="U13" i="16"/>
  <c r="X22" i="16"/>
  <c r="X14" i="16"/>
  <c r="U14" i="16"/>
  <c r="X20" i="16"/>
  <c r="X10" i="16"/>
  <c r="U15" i="16"/>
  <c r="X5" i="16"/>
  <c r="X9" i="16"/>
  <c r="U9" i="16"/>
  <c r="X17" i="16"/>
  <c r="O11" i="15"/>
  <c r="U11" i="15" s="1"/>
  <c r="N16" i="15"/>
  <c r="N5" i="15"/>
  <c r="M7" i="15"/>
  <c r="M8" i="15"/>
  <c r="L8" i="15"/>
  <c r="U8" i="15" s="1"/>
  <c r="L11" i="15"/>
  <c r="L9" i="15"/>
  <c r="U9" i="15" s="1"/>
  <c r="L14" i="15"/>
  <c r="K12" i="15"/>
  <c r="X10" i="15"/>
  <c r="X13" i="15"/>
  <c r="X15" i="15"/>
  <c r="X7" i="15"/>
  <c r="X6" i="15"/>
  <c r="X16" i="15"/>
  <c r="X4" i="15"/>
  <c r="X18" i="15"/>
  <c r="X5" i="15"/>
  <c r="X11" i="15"/>
  <c r="X14" i="15"/>
  <c r="X12" i="15"/>
  <c r="X8" i="15"/>
  <c r="X17" i="15"/>
  <c r="X9" i="15"/>
  <c r="M26" i="15"/>
  <c r="P28" i="15"/>
  <c r="J28" i="15"/>
  <c r="U21" i="15"/>
  <c r="U20" i="15"/>
  <c r="U13" i="15"/>
  <c r="U15" i="15"/>
  <c r="U19" i="15"/>
  <c r="U16" i="15"/>
  <c r="U7" i="15"/>
  <c r="U10" i="15"/>
  <c r="U12" i="15"/>
  <c r="U14" i="15"/>
  <c r="U18" i="15"/>
  <c r="U5" i="15"/>
  <c r="U6" i="15"/>
  <c r="U17" i="15"/>
  <c r="O7" i="14"/>
  <c r="O5" i="14"/>
  <c r="O9" i="14"/>
  <c r="N7" i="14"/>
  <c r="N10" i="14"/>
  <c r="N5" i="14"/>
  <c r="U5" i="14" s="1"/>
  <c r="M10" i="14"/>
  <c r="L11" i="14"/>
  <c r="U11" i="14" s="1"/>
  <c r="L6" i="14"/>
  <c r="L12" i="14"/>
  <c r="K17" i="14"/>
  <c r="U17" i="14" s="1"/>
  <c r="K9" i="14"/>
  <c r="K7" i="14"/>
  <c r="P28" i="14"/>
  <c r="J28" i="14"/>
  <c r="M26" i="14"/>
  <c r="U19" i="14"/>
  <c r="U20" i="14"/>
  <c r="U21" i="14"/>
  <c r="U16" i="14"/>
  <c r="U12" i="14"/>
  <c r="U10" i="14"/>
  <c r="U14" i="14"/>
  <c r="U15" i="14"/>
  <c r="U13" i="14"/>
  <c r="U18" i="14"/>
  <c r="U8" i="14"/>
  <c r="P14" i="13"/>
  <c r="U14" i="13" s="1"/>
  <c r="P7" i="13"/>
  <c r="P6" i="13"/>
  <c r="O10" i="13"/>
  <c r="U10" i="13" s="1"/>
  <c r="O6" i="13"/>
  <c r="O13" i="13"/>
  <c r="U13" i="13" s="1"/>
  <c r="O5" i="13"/>
  <c r="N11" i="13"/>
  <c r="N8" i="13"/>
  <c r="N10" i="13"/>
  <c r="N9" i="13"/>
  <c r="M19" i="13"/>
  <c r="U19" i="13" s="1"/>
  <c r="M20" i="13"/>
  <c r="U20" i="13" s="1"/>
  <c r="M6" i="13"/>
  <c r="M5" i="13"/>
  <c r="L5" i="13"/>
  <c r="L9" i="13"/>
  <c r="K9" i="13"/>
  <c r="K7" i="13"/>
  <c r="K8" i="13"/>
  <c r="K15" i="13"/>
  <c r="U15" i="13" s="1"/>
  <c r="P28" i="13"/>
  <c r="J28" i="13"/>
  <c r="M26" i="13"/>
  <c r="U16" i="13"/>
  <c r="U17" i="13"/>
  <c r="U18" i="13"/>
  <c r="U11" i="13"/>
  <c r="U21" i="13"/>
  <c r="U12" i="13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M26" i="1"/>
  <c r="J28" i="1"/>
  <c r="P28" i="1"/>
  <c r="M5" i="12"/>
  <c r="N5" i="12"/>
  <c r="U5" i="12" s="1"/>
  <c r="S5" i="12"/>
  <c r="U6" i="12"/>
  <c r="Q7" i="12"/>
  <c r="U7" i="12" s="1"/>
  <c r="P8" i="12"/>
  <c r="U8" i="12" s="1"/>
  <c r="U9" i="12"/>
  <c r="U10" i="12"/>
  <c r="U11" i="12"/>
  <c r="S12" i="12"/>
  <c r="U12" i="12" s="1"/>
  <c r="U13" i="12"/>
  <c r="U14" i="12"/>
  <c r="P15" i="12"/>
  <c r="U15" i="12"/>
  <c r="U16" i="12"/>
  <c r="U17" i="12"/>
  <c r="U18" i="12"/>
  <c r="U19" i="12"/>
  <c r="U20" i="12"/>
  <c r="U21" i="12"/>
  <c r="M26" i="12"/>
  <c r="J28" i="12"/>
  <c r="P28" i="12"/>
  <c r="U5" i="18" l="1"/>
  <c r="U16" i="16"/>
  <c r="U9" i="14"/>
  <c r="U8" i="13"/>
  <c r="U7" i="14"/>
  <c r="U6" i="14"/>
  <c r="U7" i="13"/>
  <c r="U6" i="13"/>
  <c r="U9" i="13"/>
  <c r="U5" i="13"/>
</calcChain>
</file>

<file path=xl/sharedStrings.xml><?xml version="1.0" encoding="utf-8"?>
<sst xmlns="http://schemas.openxmlformats.org/spreadsheetml/2006/main" count="1450" uniqueCount="107">
  <si>
    <t>Person</t>
  </si>
  <si>
    <t>Point</t>
  </si>
  <si>
    <t>Tina</t>
  </si>
  <si>
    <t>Skipper</t>
  </si>
  <si>
    <t>Josephine</t>
  </si>
  <si>
    <t>Gitte</t>
  </si>
  <si>
    <t>Jim</t>
  </si>
  <si>
    <t>Lis</t>
  </si>
  <si>
    <t>Per</t>
  </si>
  <si>
    <t>Anita</t>
  </si>
  <si>
    <t>Navn</t>
  </si>
  <si>
    <t>I alt</t>
  </si>
  <si>
    <t>Ejner</t>
  </si>
  <si>
    <t>Point:</t>
  </si>
  <si>
    <t xml:space="preserve">Den spiller, der får "rummikub" får som point den samlede værdi af de brikker, der er tilbage i </t>
  </si>
  <si>
    <t xml:space="preserve">modspillernes holdere. De andre spillere får minuspoint svarende til værdien af de brikker, </t>
  </si>
  <si>
    <t>de hver især har tilbage. En joker har en negativ værdi på 30 point.</t>
  </si>
  <si>
    <t>Christoffer</t>
  </si>
  <si>
    <t>Simone</t>
  </si>
  <si>
    <t>Amalie</t>
  </si>
  <si>
    <t>Natasja</t>
  </si>
  <si>
    <t>Sune</t>
  </si>
  <si>
    <t>Karsten</t>
  </si>
  <si>
    <t>Christian</t>
  </si>
  <si>
    <t>Rummikub 2009</t>
  </si>
  <si>
    <t>Jesper</t>
  </si>
  <si>
    <t>Josephiene</t>
  </si>
  <si>
    <t>Bord</t>
  </si>
  <si>
    <t>Spil 1</t>
  </si>
  <si>
    <t>Spil 2</t>
  </si>
  <si>
    <t>Spil 3</t>
  </si>
  <si>
    <t>Spil 4</t>
  </si>
  <si>
    <t>Spil 5</t>
  </si>
  <si>
    <t>Spil 6</t>
  </si>
  <si>
    <t>Spil 7</t>
  </si>
  <si>
    <t>Spil 8</t>
  </si>
  <si>
    <t>Spil 9</t>
  </si>
  <si>
    <t>Oversidder</t>
  </si>
  <si>
    <t>Spil 10</t>
  </si>
  <si>
    <t>Vinder af Rummikub 2009</t>
  </si>
  <si>
    <t>Vinder af Rummikub 2011</t>
  </si>
  <si>
    <t>Rummikub 2011</t>
  </si>
  <si>
    <t xml:space="preserve">Den spiller der får "rummikub," får som point den samlede værdi af de brikker, der er tilbage i </t>
  </si>
  <si>
    <t>Sander</t>
  </si>
  <si>
    <t>Alberte</t>
  </si>
  <si>
    <t>jesper</t>
  </si>
  <si>
    <t>Sander Alberte</t>
  </si>
  <si>
    <t>X</t>
  </si>
  <si>
    <t>sander</t>
  </si>
  <si>
    <t>Jim,</t>
  </si>
  <si>
    <t xml:space="preserve">Jim </t>
  </si>
  <si>
    <t>Alle spillere trækker en brik. Den med det højeste tal starter. Hvis en joker trækkes, omtrækkes der.</t>
  </si>
  <si>
    <t>For at komme ud skal man have mindst 30 point</t>
  </si>
  <si>
    <t>Jokerne må IKKE bruges til at komme ud</t>
  </si>
  <si>
    <t>Man har 1 minut (svarer til ét timeglas) til at færdiggøre sin omgang</t>
  </si>
  <si>
    <t>Hvis man ikke når at færdiggøre sin tur, skal man lægge alle brikkerne tilbage til deres retmæssige plads</t>
  </si>
  <si>
    <t>Det er ikke tilladt at rotere om på et sæt, der indeholder joker.</t>
  </si>
  <si>
    <t>∙</t>
  </si>
  <si>
    <t>Den spiller der får "rummikub," får som point den samlede værdi af de brikker, der er tilbage i modspillernes holdere. De andre spillere får minuspoint svarende til værdien af de brikker, de hver især har tilbage. En joker har en negativ værdi på 30 point.</t>
  </si>
  <si>
    <t>Vinder af Rummikub 2012</t>
  </si>
  <si>
    <t>Luna</t>
  </si>
  <si>
    <t>Vinder af Rummikub 2015</t>
  </si>
  <si>
    <t>Deltager</t>
  </si>
  <si>
    <t>Deltager nr</t>
  </si>
  <si>
    <t>Rummikub 2018</t>
  </si>
  <si>
    <t>Tryk på F9 for at genere nye tal. Herefter sorter tabellen efter deltager nr.</t>
  </si>
  <si>
    <t>Vinder af Rummikub 2018</t>
  </si>
  <si>
    <t>Man må gerne starte med at lægge ud i første runde!</t>
  </si>
  <si>
    <t>Jokeren må ikke gemmes på hånden, hvis man har taget den op fra bordet. Den SKAL bruges i samme omgang og i forbindelse med mindst en af brikkerne fra egen hånd.</t>
  </si>
  <si>
    <t>De officielle familie Rummikub regler</t>
  </si>
  <si>
    <t>skipper har kun 30 sekunder</t>
  </si>
  <si>
    <t>Rummikub 2015 (Ikke officel turnering!)</t>
  </si>
  <si>
    <t>Rummikub 2022</t>
  </si>
  <si>
    <t>Vinder af Rummikub 2022</t>
  </si>
  <si>
    <t>Isabella</t>
  </si>
  <si>
    <t>Anne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</si>
  <si>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</si>
  <si>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</si>
  <si>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</si>
  <si>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</si>
  <si>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</si>
  <si>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</si>
  <si>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</si>
  <si>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</si>
  <si>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</si>
  <si>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</si>
  <si>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</si>
  <si>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</si>
  <si>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</si>
  <si>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</si>
  <si>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</si>
  <si>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</si>
  <si>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</si>
  <si>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Jakob</t>
  </si>
  <si>
    <t>18.</t>
  </si>
  <si>
    <t>19.</t>
  </si>
  <si>
    <t>ejner</t>
  </si>
  <si>
    <t>Gitte Skipper Simone</t>
  </si>
  <si>
    <t>Karsten Skipper Isabella</t>
  </si>
  <si>
    <t>Jim       Anita    Natasja</t>
  </si>
  <si>
    <t>Sune       Per    Alberte</t>
  </si>
  <si>
    <t>Tina     Ejner       Lis</t>
  </si>
  <si>
    <t>Josephine Anne   Jakob</t>
  </si>
  <si>
    <t>Isabella Per  Karsten</t>
  </si>
  <si>
    <t>vb</t>
  </si>
  <si>
    <t>Rummikub 2023</t>
  </si>
  <si>
    <t>Vinder af Rummikub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</si>
</sst>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name val="Arial"/>
    </font>
    <font>
      <b/>
      <sz val="14"/>
      <name val="Arial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24"/>
      <name val="Arial"/>
      <family val="2"/>
    </font>
    <font>
      <i/>
      <sz val="20"/>
      <name val="Arial"/>
      <family val="2"/>
    </font>
    <font>
      <b/>
      <sz val="36"/>
      <name val="Monotype Corsiva"/>
      <family val="4"/>
    </font>
    <font>
      <b/>
      <sz val="10"/>
      <name val="Arial"/>
      <family val="2"/>
    </font>
    <font>
      <sz val="10"/>
      <name val="Arial"/>
      <family val="2"/>
    </font>
    <font>
      <sz val="18"/>
      <name val="Arial"/>
      <family val="2"/>
    </font>
    <font>
      <b/>
      <sz val="12"/>
      <name val="Calibri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b/>
      <sz val="2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52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0" xfId="0" applyAlignment="1">
      <alignment horizontal="center"/>
    </xf>
    <xf numFmtId="0" fontId="0" fillId="0" borderId="8" xfId="0" applyBorder="1"/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2" fillId="2" borderId="10" xfId="0" applyFont="1" applyFill="1" applyBorder="1"/>
    <xf numFmtId="0" fontId="2" fillId="2" borderId="1" xfId="0" applyFont="1" applyFill="1" applyBorder="1"/>
    <xf numFmtId="0" fontId="2" fillId="0" borderId="10" xfId="0" applyFont="1" applyBorder="1"/>
    <xf numFmtId="0" fontId="2" fillId="0" borderId="2" xfId="0" applyFont="1" applyBorder="1"/>
    <xf numFmtId="0" fontId="2" fillId="0" borderId="1" xfId="0" applyFont="1" applyBorder="1"/>
    <xf numFmtId="0" fontId="2" fillId="2" borderId="2" xfId="0" applyFont="1" applyFill="1" applyBorder="1"/>
    <xf numFmtId="0" fontId="2" fillId="2" borderId="0" xfId="0" applyFont="1" applyFill="1"/>
    <xf numFmtId="0" fontId="0" fillId="0" borderId="11" xfId="0" applyBorder="1"/>
    <xf numFmtId="0" fontId="0" fillId="0" borderId="12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2" fillId="0" borderId="9" xfId="0" applyFont="1" applyBorder="1"/>
    <xf numFmtId="0" fontId="2" fillId="2" borderId="9" xfId="0" applyFont="1" applyFill="1" applyBorder="1"/>
    <xf numFmtId="0" fontId="0" fillId="3" borderId="23" xfId="0" applyFill="1" applyBorder="1"/>
    <xf numFmtId="0" fontId="0" fillId="3" borderId="0" xfId="0" applyFill="1"/>
    <xf numFmtId="0" fontId="0" fillId="3" borderId="24" xfId="0" applyFill="1" applyBorder="1"/>
    <xf numFmtId="0" fontId="0" fillId="3" borderId="3" xfId="0" applyFill="1" applyBorder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0" fillId="5" borderId="4" xfId="0" applyFill="1" applyBorder="1" applyAlignment="1">
      <alignment horizontal="center"/>
    </xf>
    <xf numFmtId="0" fontId="2" fillId="5" borderId="10" xfId="0" applyFont="1" applyFill="1" applyBorder="1"/>
    <xf numFmtId="0" fontId="2" fillId="5" borderId="2" xfId="0" applyFont="1" applyFill="1" applyBorder="1"/>
    <xf numFmtId="0" fontId="2" fillId="5" borderId="1" xfId="0" applyFont="1" applyFill="1" applyBorder="1"/>
    <xf numFmtId="0" fontId="0" fillId="5" borderId="5" xfId="0" applyFill="1" applyBorder="1" applyAlignment="1">
      <alignment horizontal="center"/>
    </xf>
    <xf numFmtId="0" fontId="8" fillId="0" borderId="11" xfId="0" applyFont="1" applyBorder="1"/>
    <xf numFmtId="0" fontId="8" fillId="0" borderId="15" xfId="0" applyFont="1" applyBorder="1"/>
    <xf numFmtId="0" fontId="0" fillId="0" borderId="0" xfId="0" applyAlignment="1">
      <alignment horizontal="right"/>
    </xf>
    <xf numFmtId="1" fontId="0" fillId="0" borderId="1" xfId="0" applyNumberFormat="1" applyBorder="1"/>
    <xf numFmtId="1" fontId="0" fillId="0" borderId="7" xfId="0" applyNumberFormat="1" applyBorder="1"/>
    <xf numFmtId="0" fontId="8" fillId="5" borderId="10" xfId="0" applyFont="1" applyFill="1" applyBorder="1"/>
    <xf numFmtId="0" fontId="8" fillId="2" borderId="1" xfId="0" applyFont="1" applyFill="1" applyBorder="1"/>
    <xf numFmtId="0" fontId="8" fillId="6" borderId="1" xfId="0" applyFont="1" applyFill="1" applyBorder="1"/>
    <xf numFmtId="0" fontId="8" fillId="7" borderId="1" xfId="0" applyFont="1" applyFill="1" applyBorder="1"/>
    <xf numFmtId="0" fontId="8" fillId="8" borderId="1" xfId="0" applyFont="1" applyFill="1" applyBorder="1"/>
    <xf numFmtId="0" fontId="8" fillId="9" borderId="1" xfId="0" applyFont="1" applyFill="1" applyBorder="1"/>
    <xf numFmtId="0" fontId="8" fillId="10" borderId="1" xfId="0" applyFont="1" applyFill="1" applyBorder="1"/>
    <xf numFmtId="0" fontId="8" fillId="6" borderId="2" xfId="0" applyFont="1" applyFill="1" applyBorder="1"/>
    <xf numFmtId="0" fontId="0" fillId="5" borderId="31" xfId="0" applyFill="1" applyBorder="1" applyAlignment="1">
      <alignment horizontal="center"/>
    </xf>
    <xf numFmtId="0" fontId="8" fillId="5" borderId="32" xfId="0" applyFont="1" applyFill="1" applyBorder="1"/>
    <xf numFmtId="0" fontId="0" fillId="5" borderId="35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8" fillId="5" borderId="38" xfId="0" applyFont="1" applyFill="1" applyBorder="1"/>
    <xf numFmtId="0" fontId="8" fillId="6" borderId="30" xfId="0" applyFont="1" applyFill="1" applyBorder="1"/>
    <xf numFmtId="0" fontId="8" fillId="7" borderId="2" xfId="0" applyFont="1" applyFill="1" applyBorder="1"/>
    <xf numFmtId="0" fontId="0" fillId="2" borderId="31" xfId="0" applyFill="1" applyBorder="1" applyAlignment="1">
      <alignment horizontal="center"/>
    </xf>
    <xf numFmtId="0" fontId="8" fillId="2" borderId="41" xfId="0" applyFont="1" applyFill="1" applyBorder="1"/>
    <xf numFmtId="0" fontId="0" fillId="2" borderId="35" xfId="0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0" fontId="8" fillId="2" borderId="13" xfId="0" applyFont="1" applyFill="1" applyBorder="1"/>
    <xf numFmtId="0" fontId="8" fillId="7" borderId="30" xfId="0" applyFont="1" applyFill="1" applyBorder="1"/>
    <xf numFmtId="0" fontId="8" fillId="9" borderId="2" xfId="0" applyFont="1" applyFill="1" applyBorder="1"/>
    <xf numFmtId="0" fontId="0" fillId="8" borderId="31" xfId="0" applyFill="1" applyBorder="1" applyAlignment="1">
      <alignment horizontal="center"/>
    </xf>
    <xf numFmtId="0" fontId="8" fillId="8" borderId="41" xfId="0" applyFont="1" applyFill="1" applyBorder="1"/>
    <xf numFmtId="0" fontId="0" fillId="8" borderId="35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8" fillId="8" borderId="13" xfId="0" applyFont="1" applyFill="1" applyBorder="1"/>
    <xf numFmtId="0" fontId="8" fillId="9" borderId="30" xfId="0" applyFont="1" applyFill="1" applyBorder="1"/>
    <xf numFmtId="0" fontId="0" fillId="10" borderId="31" xfId="0" applyFill="1" applyBorder="1" applyAlignment="1">
      <alignment horizontal="center"/>
    </xf>
    <xf numFmtId="0" fontId="8" fillId="10" borderId="41" xfId="0" applyFont="1" applyFill="1" applyBorder="1"/>
    <xf numFmtId="0" fontId="0" fillId="10" borderId="35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8" fillId="10" borderId="13" xfId="0" applyFont="1" applyFill="1" applyBorder="1"/>
    <xf numFmtId="0" fontId="0" fillId="6" borderId="42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43" xfId="0" applyFill="1" applyBorder="1" applyAlignment="1">
      <alignment horizontal="center"/>
    </xf>
    <xf numFmtId="0" fontId="0" fillId="7" borderId="42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43" xfId="0" applyFill="1" applyBorder="1" applyAlignment="1">
      <alignment horizontal="center"/>
    </xf>
    <xf numFmtId="0" fontId="0" fillId="9" borderId="42" xfId="0" applyFill="1" applyBorder="1" applyAlignment="1">
      <alignment horizontal="center"/>
    </xf>
    <xf numFmtId="0" fontId="0" fillId="9" borderId="35" xfId="0" applyFill="1" applyBorder="1" applyAlignment="1">
      <alignment horizontal="center"/>
    </xf>
    <xf numFmtId="0" fontId="0" fillId="9" borderId="43" xfId="0" applyFill="1" applyBorder="1" applyAlignment="1">
      <alignment horizontal="center"/>
    </xf>
    <xf numFmtId="0" fontId="7" fillId="0" borderId="0" xfId="0" applyFont="1" applyAlignment="1">
      <alignment horizontal="right"/>
    </xf>
    <xf numFmtId="0" fontId="15" fillId="3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2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2" xfId="0" applyBorder="1" applyAlignment="1">
      <alignment horizontal="center"/>
    </xf>
    <xf numFmtId="0" fontId="8" fillId="0" borderId="1" xfId="0" applyFont="1" applyBorder="1"/>
    <xf numFmtId="0" fontId="8" fillId="0" borderId="44" xfId="0" applyFont="1" applyBorder="1"/>
    <xf numFmtId="0" fontId="0" fillId="0" borderId="41" xfId="0" applyBorder="1"/>
    <xf numFmtId="0" fontId="8" fillId="0" borderId="45" xfId="0" applyFont="1" applyBorder="1"/>
    <xf numFmtId="0" fontId="0" fillId="0" borderId="5" xfId="0" applyBorder="1"/>
    <xf numFmtId="1" fontId="0" fillId="0" borderId="5" xfId="0" applyNumberFormat="1" applyBorder="1"/>
    <xf numFmtId="0" fontId="0" fillId="0" borderId="45" xfId="0" applyBorder="1"/>
    <xf numFmtId="0" fontId="8" fillId="0" borderId="46" xfId="0" applyFont="1" applyBorder="1"/>
    <xf numFmtId="0" fontId="0" fillId="0" borderId="47" xfId="0" applyBorder="1"/>
    <xf numFmtId="0" fontId="0" fillId="0" borderId="4" xfId="0" applyBorder="1"/>
    <xf numFmtId="0" fontId="0" fillId="0" borderId="0" xfId="0" applyAlignment="1">
      <alignment wrapText="1"/>
    </xf>
    <xf numFmtId="0" fontId="0" fillId="6" borderId="31" xfId="0" applyFill="1" applyBorder="1" applyAlignment="1">
      <alignment horizontal="center"/>
    </xf>
    <xf numFmtId="0" fontId="8" fillId="6" borderId="41" xfId="0" applyFont="1" applyFill="1" applyBorder="1"/>
    <xf numFmtId="0" fontId="0" fillId="6" borderId="37" xfId="0" applyFill="1" applyBorder="1" applyAlignment="1">
      <alignment horizontal="center"/>
    </xf>
    <xf numFmtId="0" fontId="8" fillId="6" borderId="13" xfId="0" applyFont="1" applyFill="1" applyBorder="1"/>
    <xf numFmtId="0" fontId="0" fillId="11" borderId="31" xfId="0" applyFill="1" applyBorder="1" applyAlignment="1">
      <alignment horizontal="center"/>
    </xf>
    <xf numFmtId="0" fontId="8" fillId="11" borderId="41" xfId="0" applyFont="1" applyFill="1" applyBorder="1"/>
    <xf numFmtId="0" fontId="0" fillId="11" borderId="35" xfId="0" applyFill="1" applyBorder="1" applyAlignment="1">
      <alignment horizontal="center"/>
    </xf>
    <xf numFmtId="0" fontId="8" fillId="11" borderId="1" xfId="0" applyFont="1" applyFill="1" applyBorder="1"/>
    <xf numFmtId="0" fontId="0" fillId="11" borderId="37" xfId="0" applyFill="1" applyBorder="1" applyAlignment="1">
      <alignment horizontal="center"/>
    </xf>
    <xf numFmtId="0" fontId="8" fillId="11" borderId="13" xfId="0" applyFont="1" applyFill="1" applyBorder="1"/>
    <xf numFmtId="0" fontId="0" fillId="6" borderId="48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8" borderId="49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48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20" xfId="0" applyFill="1" applyBorder="1" applyAlignment="1">
      <alignment horizontal="center"/>
    </xf>
    <xf numFmtId="0" fontId="0" fillId="10" borderId="49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6" borderId="4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8" fillId="11" borderId="2" xfId="0" applyFont="1" applyFill="1" applyBorder="1"/>
    <xf numFmtId="0" fontId="0" fillId="5" borderId="49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8" fillId="5" borderId="44" xfId="0" applyFont="1" applyFill="1" applyBorder="1"/>
    <xf numFmtId="0" fontId="8" fillId="5" borderId="45" xfId="0" applyFont="1" applyFill="1" applyBorder="1"/>
    <xf numFmtId="0" fontId="8" fillId="5" borderId="46" xfId="0" applyFont="1" applyFill="1" applyBorder="1"/>
    <xf numFmtId="0" fontId="0" fillId="6" borderId="44" xfId="0" applyFill="1" applyBorder="1" applyAlignment="1">
      <alignment horizontal="left"/>
    </xf>
    <xf numFmtId="0" fontId="0" fillId="6" borderId="41" xfId="0" applyFill="1" applyBorder="1" applyAlignment="1">
      <alignment horizontal="left"/>
    </xf>
    <xf numFmtId="0" fontId="0" fillId="6" borderId="45" xfId="0" applyFill="1" applyBorder="1" applyAlignment="1">
      <alignment horizontal="left"/>
    </xf>
    <xf numFmtId="0" fontId="0" fillId="6" borderId="46" xfId="0" applyFill="1" applyBorder="1" applyAlignment="1">
      <alignment horizontal="left"/>
    </xf>
    <xf numFmtId="0" fontId="0" fillId="6" borderId="13" xfId="0" applyFill="1" applyBorder="1" applyAlignment="1">
      <alignment horizontal="left"/>
    </xf>
    <xf numFmtId="0" fontId="0" fillId="2" borderId="44" xfId="0" applyFill="1" applyBorder="1" applyAlignment="1">
      <alignment horizontal="left"/>
    </xf>
    <xf numFmtId="0" fontId="0" fillId="2" borderId="41" xfId="0" applyFill="1" applyBorder="1" applyAlignment="1">
      <alignment horizontal="left"/>
    </xf>
    <xf numFmtId="0" fontId="0" fillId="2" borderId="45" xfId="0" applyFill="1" applyBorder="1" applyAlignment="1">
      <alignment horizontal="left"/>
    </xf>
    <xf numFmtId="0" fontId="0" fillId="2" borderId="46" xfId="0" applyFill="1" applyBorder="1" applyAlignment="1">
      <alignment horizontal="left"/>
    </xf>
    <xf numFmtId="0" fontId="0" fillId="2" borderId="13" xfId="0" applyFill="1" applyBorder="1" applyAlignment="1">
      <alignment horizontal="left"/>
    </xf>
    <xf numFmtId="0" fontId="0" fillId="7" borderId="44" xfId="0" applyFill="1" applyBorder="1" applyAlignment="1">
      <alignment horizontal="left"/>
    </xf>
    <xf numFmtId="0" fontId="0" fillId="7" borderId="41" xfId="0" applyFill="1" applyBorder="1" applyAlignment="1">
      <alignment horizontal="left"/>
    </xf>
    <xf numFmtId="0" fontId="0" fillId="7" borderId="45" xfId="0" applyFill="1" applyBorder="1" applyAlignment="1">
      <alignment horizontal="left"/>
    </xf>
    <xf numFmtId="0" fontId="0" fillId="7" borderId="46" xfId="0" applyFill="1" applyBorder="1" applyAlignment="1">
      <alignment horizontal="left"/>
    </xf>
    <xf numFmtId="0" fontId="0" fillId="7" borderId="13" xfId="0" applyFill="1" applyBorder="1" applyAlignment="1">
      <alignment horizontal="left"/>
    </xf>
    <xf numFmtId="0" fontId="0" fillId="8" borderId="44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0" fillId="8" borderId="46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41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9" borderId="46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44" xfId="0" applyFill="1" applyBorder="1" applyAlignment="1">
      <alignment horizontal="center"/>
    </xf>
    <xf numFmtId="0" fontId="0" fillId="10" borderId="41" xfId="0" applyFill="1" applyBorder="1" applyAlignment="1">
      <alignment horizontal="center"/>
    </xf>
    <xf numFmtId="0" fontId="0" fillId="10" borderId="45" xfId="0" applyFill="1" applyBorder="1" applyAlignment="1">
      <alignment horizontal="center"/>
    </xf>
    <xf numFmtId="0" fontId="0" fillId="10" borderId="46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6" borderId="41" xfId="0" applyFill="1" applyBorder="1" applyAlignment="1">
      <alignment horizontal="center"/>
    </xf>
    <xf numFmtId="0" fontId="0" fillId="6" borderId="45" xfId="0" applyFill="1" applyBorder="1" applyAlignment="1">
      <alignment horizontal="center"/>
    </xf>
    <xf numFmtId="0" fontId="0" fillId="6" borderId="46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8" fillId="5" borderId="53" xfId="0" applyFont="1" applyFill="1" applyBorder="1"/>
    <xf numFmtId="0" fontId="8" fillId="5" borderId="54" xfId="0" applyFont="1" applyFill="1" applyBorder="1"/>
    <xf numFmtId="0" fontId="8" fillId="5" borderId="55" xfId="0" applyFont="1" applyFill="1" applyBorder="1"/>
    <xf numFmtId="0" fontId="0" fillId="6" borderId="56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0" fillId="6" borderId="14" xfId="0" applyFill="1" applyBorder="1" applyAlignment="1">
      <alignment horizontal="left"/>
    </xf>
    <xf numFmtId="0" fontId="0" fillId="2" borderId="56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14" xfId="0" applyFill="1" applyBorder="1" applyAlignment="1">
      <alignment horizontal="left"/>
    </xf>
    <xf numFmtId="0" fontId="0" fillId="7" borderId="56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0" fillId="8" borderId="5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9" borderId="56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8" fillId="11" borderId="8" xfId="0" applyFont="1" applyFill="1" applyBorder="1"/>
    <xf numFmtId="0" fontId="8" fillId="11" borderId="6" xfId="0" applyFont="1" applyFill="1" applyBorder="1"/>
    <xf numFmtId="0" fontId="8" fillId="11" borderId="14" xfId="0" applyFont="1" applyFill="1" applyBorder="1"/>
    <xf numFmtId="0" fontId="0" fillId="12" borderId="50" xfId="0" applyFill="1" applyBorder="1" applyAlignment="1">
      <alignment horizontal="center"/>
    </xf>
    <xf numFmtId="0" fontId="2" fillId="12" borderId="41" xfId="0" applyFont="1" applyFill="1" applyBorder="1"/>
    <xf numFmtId="0" fontId="2" fillId="12" borderId="56" xfId="0" applyFont="1" applyFill="1" applyBorder="1"/>
    <xf numFmtId="0" fontId="0" fillId="12" borderId="51" xfId="0" applyFill="1" applyBorder="1" applyAlignment="1">
      <alignment horizontal="center"/>
    </xf>
    <xf numFmtId="0" fontId="2" fillId="12" borderId="10" xfId="0" applyFont="1" applyFill="1" applyBorder="1"/>
    <xf numFmtId="0" fontId="2" fillId="12" borderId="1" xfId="0" applyFont="1" applyFill="1" applyBorder="1"/>
    <xf numFmtId="0" fontId="2" fillId="12" borderId="27" xfId="0" applyFont="1" applyFill="1" applyBorder="1"/>
    <xf numFmtId="0" fontId="2" fillId="12" borderId="6" xfId="0" applyFont="1" applyFill="1" applyBorder="1"/>
    <xf numFmtId="0" fontId="0" fillId="12" borderId="52" xfId="0" applyFill="1" applyBorder="1" applyAlignment="1">
      <alignment horizontal="center"/>
    </xf>
    <xf numFmtId="0" fontId="2" fillId="12" borderId="38" xfId="0" applyFont="1" applyFill="1" applyBorder="1"/>
    <xf numFmtId="0" fontId="2" fillId="12" borderId="13" xfId="0" applyFont="1" applyFill="1" applyBorder="1"/>
    <xf numFmtId="0" fontId="2" fillId="12" borderId="14" xfId="0" applyFont="1" applyFill="1" applyBorder="1"/>
    <xf numFmtId="1" fontId="0" fillId="0" borderId="41" xfId="0" applyNumberFormat="1" applyBorder="1"/>
    <xf numFmtId="1" fontId="0" fillId="0" borderId="4" xfId="0" applyNumberFormat="1" applyBorder="1"/>
    <xf numFmtId="0" fontId="0" fillId="0" borderId="27" xfId="0" applyBorder="1" applyAlignment="1">
      <alignment horizontal="center"/>
    </xf>
    <xf numFmtId="0" fontId="5" fillId="4" borderId="21" xfId="0" applyFont="1" applyFill="1" applyBorder="1" applyAlignment="1">
      <alignment horizontal="center" vertical="center"/>
    </xf>
    <xf numFmtId="0" fontId="5" fillId="4" borderId="28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25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0" fillId="2" borderId="27" xfId="0" applyFill="1" applyBorder="1" applyAlignment="1">
      <alignment horizontal="center"/>
    </xf>
    <xf numFmtId="0" fontId="0" fillId="0" borderId="0" xfId="0" applyAlignment="1">
      <alignment horizontal="center"/>
    </xf>
    <xf numFmtId="0" fontId="6" fillId="3" borderId="21" xfId="0" applyFont="1" applyFill="1" applyBorder="1" applyAlignment="1">
      <alignment horizontal="center"/>
    </xf>
    <xf numFmtId="0" fontId="6" fillId="3" borderId="28" xfId="0" applyFont="1" applyFill="1" applyBorder="1" applyAlignment="1">
      <alignment horizontal="center"/>
    </xf>
    <xf numFmtId="0" fontId="6" fillId="3" borderId="22" xfId="0" applyFont="1" applyFill="1" applyBorder="1" applyAlignment="1">
      <alignment horizontal="center"/>
    </xf>
    <xf numFmtId="0" fontId="6" fillId="3" borderId="23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24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2" borderId="27" xfId="0" applyFill="1" applyBorder="1" applyAlignment="1">
      <alignment horizontal="center" vertical="center" wrapText="1"/>
    </xf>
    <xf numFmtId="0" fontId="0" fillId="2" borderId="27" xfId="0" applyFill="1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8" fillId="5" borderId="27" xfId="0" applyFont="1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0" fillId="5" borderId="27" xfId="0" applyFill="1" applyBorder="1" applyAlignment="1">
      <alignment horizontal="center" vertical="center" wrapText="1"/>
    </xf>
    <xf numFmtId="0" fontId="8" fillId="0" borderId="27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8" fillId="5" borderId="33" xfId="0" applyFont="1" applyFill="1" applyBorder="1" applyAlignment="1">
      <alignment horizontal="center" vertical="center" wrapText="1"/>
    </xf>
    <xf numFmtId="0" fontId="0" fillId="5" borderId="39" xfId="0" applyFill="1" applyBorder="1" applyAlignment="1">
      <alignment horizontal="center" vertical="center" wrapText="1"/>
    </xf>
    <xf numFmtId="0" fontId="7" fillId="5" borderId="34" xfId="0" applyFont="1" applyFill="1" applyBorder="1" applyAlignment="1">
      <alignment horizontal="center" vertical="center" wrapText="1"/>
    </xf>
    <xf numFmtId="0" fontId="7" fillId="5" borderId="36" xfId="0" applyFont="1" applyFill="1" applyBorder="1" applyAlignment="1">
      <alignment horizontal="center" vertical="center" wrapText="1"/>
    </xf>
    <xf numFmtId="0" fontId="7" fillId="5" borderId="40" xfId="0" applyFont="1" applyFill="1" applyBorder="1" applyAlignment="1">
      <alignment horizontal="center" vertical="center" wrapText="1"/>
    </xf>
    <xf numFmtId="0" fontId="8" fillId="6" borderId="27" xfId="0" applyFont="1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7" fillId="6" borderId="36" xfId="0" applyFont="1" applyFill="1" applyBorder="1" applyAlignment="1">
      <alignment horizontal="center" vertical="center" wrapText="1"/>
    </xf>
    <xf numFmtId="0" fontId="14" fillId="0" borderId="3" xfId="0" applyFont="1" applyBorder="1" applyAlignment="1">
      <alignment horizontal="center"/>
    </xf>
    <xf numFmtId="0" fontId="8" fillId="2" borderId="33" xfId="0" applyFont="1" applyFill="1" applyBorder="1" applyAlignment="1">
      <alignment horizontal="center" vertical="center" wrapText="1"/>
    </xf>
    <xf numFmtId="0" fontId="0" fillId="2" borderId="39" xfId="0" applyFill="1" applyBorder="1" applyAlignment="1">
      <alignment horizontal="center" vertical="center" wrapText="1"/>
    </xf>
    <xf numFmtId="0" fontId="7" fillId="2" borderId="34" xfId="0" applyFont="1" applyFill="1" applyBorder="1" applyAlignment="1">
      <alignment horizontal="center" vertical="center" wrapText="1"/>
    </xf>
    <xf numFmtId="0" fontId="7" fillId="2" borderId="36" xfId="0" applyFont="1" applyFill="1" applyBorder="1" applyAlignment="1">
      <alignment horizontal="center" vertical="center" wrapText="1"/>
    </xf>
    <xf numFmtId="0" fontId="7" fillId="2" borderId="40" xfId="0" applyFont="1" applyFill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0" fillId="7" borderId="27" xfId="0" applyFill="1" applyBorder="1" applyAlignment="1">
      <alignment horizontal="center" vertical="center" wrapText="1"/>
    </xf>
    <xf numFmtId="0" fontId="7" fillId="7" borderId="36" xfId="0" applyFont="1" applyFill="1" applyBorder="1" applyAlignment="1">
      <alignment horizontal="center" vertical="center" wrapText="1"/>
    </xf>
    <xf numFmtId="0" fontId="8" fillId="8" borderId="33" xfId="0" applyFont="1" applyFill="1" applyBorder="1" applyAlignment="1">
      <alignment horizontal="center" vertical="center" wrapText="1"/>
    </xf>
    <xf numFmtId="0" fontId="0" fillId="8" borderId="27" xfId="0" applyFill="1" applyBorder="1" applyAlignment="1">
      <alignment horizontal="center" vertical="center" wrapText="1"/>
    </xf>
    <xf numFmtId="0" fontId="0" fillId="8" borderId="39" xfId="0" applyFill="1" applyBorder="1" applyAlignment="1">
      <alignment horizontal="center" vertical="center" wrapText="1"/>
    </xf>
    <xf numFmtId="0" fontId="7" fillId="8" borderId="34" xfId="0" applyFont="1" applyFill="1" applyBorder="1" applyAlignment="1">
      <alignment horizontal="center" vertical="center" wrapText="1"/>
    </xf>
    <xf numFmtId="0" fontId="7" fillId="8" borderId="36" xfId="0" applyFont="1" applyFill="1" applyBorder="1" applyAlignment="1">
      <alignment horizontal="center" vertical="center" wrapText="1"/>
    </xf>
    <xf numFmtId="0" fontId="7" fillId="8" borderId="40" xfId="0" applyFont="1" applyFill="1" applyBorder="1" applyAlignment="1">
      <alignment horizontal="center" vertical="center" wrapText="1"/>
    </xf>
    <xf numFmtId="0" fontId="0" fillId="9" borderId="27" xfId="0" applyFill="1" applyBorder="1" applyAlignment="1">
      <alignment horizontal="center" vertical="center" wrapText="1"/>
    </xf>
    <xf numFmtId="0" fontId="7" fillId="9" borderId="36" xfId="0" applyFont="1" applyFill="1" applyBorder="1" applyAlignment="1">
      <alignment horizontal="center" vertical="center" wrapText="1"/>
    </xf>
    <xf numFmtId="0" fontId="0" fillId="10" borderId="33" xfId="0" applyFill="1" applyBorder="1" applyAlignment="1">
      <alignment horizontal="center" vertical="center" wrapText="1"/>
    </xf>
    <xf numFmtId="0" fontId="0" fillId="10" borderId="27" xfId="0" applyFill="1" applyBorder="1" applyAlignment="1">
      <alignment horizontal="center" vertical="center" wrapText="1"/>
    </xf>
    <xf numFmtId="0" fontId="0" fillId="10" borderId="39" xfId="0" applyFill="1" applyBorder="1" applyAlignment="1">
      <alignment horizontal="center" vertical="center" wrapText="1"/>
    </xf>
    <xf numFmtId="0" fontId="7" fillId="10" borderId="34" xfId="0" applyFont="1" applyFill="1" applyBorder="1" applyAlignment="1">
      <alignment horizontal="center" vertical="center" wrapText="1"/>
    </xf>
    <xf numFmtId="0" fontId="7" fillId="10" borderId="36" xfId="0" applyFont="1" applyFill="1" applyBorder="1" applyAlignment="1">
      <alignment horizontal="center" vertical="center" wrapText="1"/>
    </xf>
    <xf numFmtId="0" fontId="7" fillId="10" borderId="40" xfId="0" applyFont="1" applyFill="1" applyBorder="1" applyAlignment="1">
      <alignment horizontal="center" vertical="center" wrapText="1"/>
    </xf>
    <xf numFmtId="0" fontId="16" fillId="4" borderId="21" xfId="0" applyFont="1" applyFill="1" applyBorder="1" applyAlignment="1">
      <alignment horizontal="center" vertical="center"/>
    </xf>
    <xf numFmtId="0" fontId="16" fillId="4" borderId="28" xfId="0" applyFont="1" applyFill="1" applyBorder="1" applyAlignment="1">
      <alignment horizontal="center" vertical="center"/>
    </xf>
    <xf numFmtId="0" fontId="16" fillId="4" borderId="22" xfId="0" applyFont="1" applyFill="1" applyBorder="1" applyAlignment="1">
      <alignment horizontal="center" vertical="center"/>
    </xf>
    <xf numFmtId="0" fontId="16" fillId="4" borderId="25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8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0" fillId="6" borderId="33" xfId="0" applyFill="1" applyBorder="1" applyAlignment="1">
      <alignment horizontal="center" vertical="center" wrapText="1"/>
    </xf>
    <xf numFmtId="0" fontId="0" fillId="6" borderId="39" xfId="0" applyFill="1" applyBorder="1" applyAlignment="1">
      <alignment horizontal="center" vertical="center" wrapText="1"/>
    </xf>
    <xf numFmtId="0" fontId="7" fillId="6" borderId="34" xfId="0" applyFont="1" applyFill="1" applyBorder="1" applyAlignment="1">
      <alignment horizontal="center" vertical="center" wrapText="1"/>
    </xf>
    <xf numFmtId="0" fontId="7" fillId="6" borderId="40" xfId="0" applyFont="1" applyFill="1" applyBorder="1" applyAlignment="1">
      <alignment horizontal="center" vertical="center" wrapText="1"/>
    </xf>
    <xf numFmtId="0" fontId="8" fillId="11" borderId="33" xfId="0" applyFont="1" applyFill="1" applyBorder="1" applyAlignment="1">
      <alignment horizontal="center" vertical="center" wrapText="1"/>
    </xf>
    <xf numFmtId="0" fontId="0" fillId="11" borderId="27" xfId="0" applyFill="1" applyBorder="1" applyAlignment="1">
      <alignment horizontal="center" vertical="center" wrapText="1"/>
    </xf>
    <xf numFmtId="0" fontId="0" fillId="11" borderId="39" xfId="0" applyFill="1" applyBorder="1" applyAlignment="1">
      <alignment horizontal="center" vertical="center" wrapText="1"/>
    </xf>
    <xf numFmtId="0" fontId="7" fillId="11" borderId="34" xfId="0" applyFont="1" applyFill="1" applyBorder="1" applyAlignment="1">
      <alignment horizontal="center" vertical="center" wrapText="1"/>
    </xf>
    <xf numFmtId="0" fontId="7" fillId="11" borderId="36" xfId="0" applyFont="1" applyFill="1" applyBorder="1" applyAlignment="1">
      <alignment horizontal="center" vertical="center" wrapText="1"/>
    </xf>
    <xf numFmtId="0" fontId="7" fillId="11" borderId="40" xfId="0" applyFont="1" applyFill="1" applyBorder="1" applyAlignment="1">
      <alignment horizontal="center" vertical="center" wrapText="1"/>
    </xf>
    <xf numFmtId="0" fontId="8" fillId="0" borderId="27" xfId="0" applyFont="1" applyBorder="1" applyAlignment="1">
      <alignment horizontal="center" wrapText="1"/>
    </xf>
    <xf numFmtId="0" fontId="0" fillId="6" borderId="57" xfId="0" applyFill="1" applyBorder="1" applyAlignment="1">
      <alignment horizontal="center" vertical="center" wrapText="1"/>
    </xf>
    <xf numFmtId="0" fontId="0" fillId="6" borderId="58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8" fillId="11" borderId="57" xfId="0" applyFont="1" applyFill="1" applyBorder="1" applyAlignment="1">
      <alignment horizontal="center" vertical="center" wrapText="1"/>
    </xf>
    <xf numFmtId="0" fontId="0" fillId="11" borderId="58" xfId="0" applyFill="1" applyBorder="1" applyAlignment="1">
      <alignment horizontal="center" vertical="center" wrapText="1"/>
    </xf>
    <xf numFmtId="0" fontId="0" fillId="11" borderId="16" xfId="0" applyFill="1" applyBorder="1" applyAlignment="1">
      <alignment horizontal="center" vertical="center" wrapText="1"/>
    </xf>
    <xf numFmtId="0" fontId="8" fillId="12" borderId="57" xfId="0" applyFont="1" applyFill="1" applyBorder="1" applyAlignment="1">
      <alignment horizontal="center" wrapText="1"/>
    </xf>
    <xf numFmtId="0" fontId="0" fillId="12" borderId="58" xfId="0" applyFill="1" applyBorder="1" applyAlignment="1">
      <alignment horizontal="center" wrapText="1"/>
    </xf>
    <xf numFmtId="0" fontId="0" fillId="12" borderId="16" xfId="0" applyFill="1" applyBorder="1" applyAlignment="1">
      <alignment horizontal="center" wrapText="1"/>
    </xf>
    <xf numFmtId="0" fontId="0" fillId="12" borderId="57" xfId="0" applyFill="1" applyBorder="1" applyAlignment="1">
      <alignment horizontal="center" vertical="center" wrapText="1"/>
    </xf>
    <xf numFmtId="0" fontId="0" fillId="12" borderId="58" xfId="0" applyFill="1" applyBorder="1" applyAlignment="1">
      <alignment horizontal="center" vertical="center" wrapText="1"/>
    </xf>
    <xf numFmtId="0" fontId="0" fillId="12" borderId="16" xfId="0" applyFill="1" applyBorder="1" applyAlignment="1">
      <alignment horizontal="center" vertical="center" wrapText="1"/>
    </xf>
    <xf numFmtId="0" fontId="0" fillId="9" borderId="58" xfId="0" applyFill="1" applyBorder="1" applyAlignment="1">
      <alignment horizontal="center" vertical="center" wrapText="1"/>
    </xf>
    <xf numFmtId="0" fontId="0" fillId="10" borderId="57" xfId="0" applyFill="1" applyBorder="1" applyAlignment="1">
      <alignment horizontal="center" vertical="center" wrapText="1"/>
    </xf>
    <xf numFmtId="0" fontId="0" fillId="10" borderId="58" xfId="0" applyFill="1" applyBorder="1" applyAlignment="1">
      <alignment horizontal="center" vertical="center" wrapText="1"/>
    </xf>
    <xf numFmtId="0" fontId="0" fillId="10" borderId="16" xfId="0" applyFill="1" applyBorder="1" applyAlignment="1">
      <alignment horizontal="center" vertical="center" wrapText="1"/>
    </xf>
    <xf numFmtId="0" fontId="8" fillId="2" borderId="57" xfId="0" applyFont="1" applyFill="1" applyBorder="1" applyAlignment="1">
      <alignment horizontal="center" vertical="center" wrapText="1"/>
    </xf>
    <xf numFmtId="0" fontId="0" fillId="2" borderId="58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8" fillId="7" borderId="58" xfId="0" applyFont="1" applyFill="1" applyBorder="1" applyAlignment="1">
      <alignment horizontal="center" vertical="center" wrapText="1"/>
    </xf>
    <xf numFmtId="0" fontId="0" fillId="7" borderId="58" xfId="0" applyFill="1" applyBorder="1" applyAlignment="1">
      <alignment horizontal="center" vertical="center" wrapText="1"/>
    </xf>
    <xf numFmtId="0" fontId="8" fillId="8" borderId="57" xfId="0" applyFont="1" applyFill="1" applyBorder="1" applyAlignment="1">
      <alignment horizontal="center" vertical="center" wrapText="1"/>
    </xf>
    <xf numFmtId="0" fontId="0" fillId="8" borderId="58" xfId="0" applyFill="1" applyBorder="1" applyAlignment="1">
      <alignment horizontal="center" vertical="center" wrapText="1"/>
    </xf>
    <xf numFmtId="0" fontId="0" fillId="8" borderId="16" xfId="0" applyFill="1" applyBorder="1" applyAlignment="1">
      <alignment horizontal="center" vertical="center" wrapText="1"/>
    </xf>
    <xf numFmtId="0" fontId="8" fillId="5" borderId="57" xfId="0" applyFont="1" applyFill="1" applyBorder="1" applyAlignment="1">
      <alignment horizontal="center" vertical="center" wrapText="1"/>
    </xf>
    <xf numFmtId="0" fontId="0" fillId="5" borderId="58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8" fillId="6" borderId="58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/>
    </xf>
    <xf numFmtId="0" fontId="9" fillId="0" borderId="29" xfId="0" applyFont="1" applyBorder="1" applyAlignment="1">
      <alignment horizontal="center"/>
    </xf>
    <xf numFmtId="0" fontId="8" fillId="0" borderId="0" xfId="0" applyFont="1" applyAlignment="1">
      <alignment horizontal="left" wrapText="1"/>
    </xf>
  </cellXfs>
  <cellStyles count="1">
    <cellStyle name="Normal" xfId="0" builtinId="0"/>
  </cellStyles>
  <dxfs count="21"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rgb="FF92D05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487680</xdr:colOff>
          <xdr:row>30</xdr:row>
          <xdr:rowOff>106680</xdr:rowOff>
        </xdr:from>
        <xdr:to>
          <xdr:col>14</xdr:col>
          <xdr:colOff>137160</xdr:colOff>
          <xdr:row>32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a-DK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Opdater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297180</xdr:colOff>
          <xdr:row>24</xdr:row>
          <xdr:rowOff>76200</xdr:rowOff>
        </xdr:from>
        <xdr:to>
          <xdr:col>20</xdr:col>
          <xdr:colOff>510540</xdr:colOff>
          <xdr:row>25</xdr:row>
          <xdr:rowOff>220980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a-DK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Opdater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297180</xdr:colOff>
          <xdr:row>24</xdr:row>
          <xdr:rowOff>76200</xdr:rowOff>
        </xdr:from>
        <xdr:to>
          <xdr:col>20</xdr:col>
          <xdr:colOff>510540</xdr:colOff>
          <xdr:row>26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a-DK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Opdater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297180</xdr:colOff>
          <xdr:row>24</xdr:row>
          <xdr:rowOff>76200</xdr:rowOff>
        </xdr:from>
        <xdr:to>
          <xdr:col>20</xdr:col>
          <xdr:colOff>510540</xdr:colOff>
          <xdr:row>26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a-DK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Opdater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297180</xdr:colOff>
          <xdr:row>26</xdr:row>
          <xdr:rowOff>76200</xdr:rowOff>
        </xdr:from>
        <xdr:to>
          <xdr:col>20</xdr:col>
          <xdr:colOff>510540</xdr:colOff>
          <xdr:row>28</xdr:row>
          <xdr:rowOff>144780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a-DK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Opdater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297180</xdr:colOff>
          <xdr:row>26</xdr:row>
          <xdr:rowOff>76200</xdr:rowOff>
        </xdr:from>
        <xdr:to>
          <xdr:col>20</xdr:col>
          <xdr:colOff>510540</xdr:colOff>
          <xdr:row>28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a-DK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Opdater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el5" displayName="Tabel5" ref="X3:Y18" totalsRowShown="0">
  <autoFilter ref="X3:Y18" xr:uid="{00000000-0009-0000-0100-000005000000}"/>
  <sortState xmlns:xlrd2="http://schemas.microsoft.com/office/spreadsheetml/2017/richdata2" ref="X4:Y18">
    <sortCondition ref="X3:X18"/>
  </sortState>
  <tableColumns count="2">
    <tableColumn id="1" xr3:uid="{00000000-0010-0000-0000-000001000000}" name="Deltager nr">
      <calculatedColumnFormula>RAND()</calculatedColumnFormula>
    </tableColumn>
    <tableColumn id="2" xr3:uid="{00000000-0010-0000-0000-000002000000}" name="Deltager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CAF9E9-E100-4CD2-9261-0C668CECB6CD}" name="Tabel52" displayName="Tabel52" ref="X4:Y23" totalsRowShown="0">
  <autoFilter ref="X4:Y23" xr:uid="{00000000-0009-0000-0100-000005000000}"/>
  <sortState xmlns:xlrd2="http://schemas.microsoft.com/office/spreadsheetml/2017/richdata2" ref="X5:Y23">
    <sortCondition ref="X4:X23"/>
  </sortState>
  <tableColumns count="2">
    <tableColumn id="1" xr3:uid="{18675E7E-5183-4EAD-A581-E19A3F33EB79}" name="Deltager nr">
      <calculatedColumnFormula>RAND()</calculatedColumnFormula>
    </tableColumn>
    <tableColumn id="2" xr3:uid="{00E11DA0-740C-46E2-8035-4967B2594EF3}" name="Deltager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D3C1E7-2B9C-4D6D-8EF9-3EC688A1AC36}" name="Tabel523" displayName="Tabel523" ref="X4:Y20" totalsRowShown="0">
  <autoFilter ref="X4:Y20" xr:uid="{00000000-0009-0000-0100-000005000000}"/>
  <sortState xmlns:xlrd2="http://schemas.microsoft.com/office/spreadsheetml/2017/richdata2" ref="X5:Y20">
    <sortCondition ref="X4:X20"/>
  </sortState>
  <tableColumns count="2">
    <tableColumn id="1" xr3:uid="{23DDC5AC-C8AB-4F2E-BF6E-0E6E7DAD87F0}" name="Deltager nr">
      <calculatedColumnFormula>RAND()</calculatedColumnFormula>
    </tableColumn>
    <tableColumn id="2" xr3:uid="{D809D0BA-5340-4712-B836-46EAFE833BBF}" name="Deltage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U48"/>
  <sheetViews>
    <sheetView zoomScale="70" workbookViewId="0">
      <selection activeCell="M1" sqref="M1"/>
    </sheetView>
  </sheetViews>
  <sheetFormatPr defaultRowHeight="20.100000000000001" customHeight="1" x14ac:dyDescent="0.25"/>
  <cols>
    <col min="2" max="4" width="13.77734375" customWidth="1"/>
    <col min="5" max="5" width="13.21875" customWidth="1"/>
    <col min="7" max="7" width="9.21875" customWidth="1"/>
    <col min="8" max="8" width="4.77734375" customWidth="1"/>
  </cols>
  <sheetData>
    <row r="1" spans="1:21" ht="20.100000000000001" customHeight="1" x14ac:dyDescent="0.3">
      <c r="A1" s="1" t="s">
        <v>24</v>
      </c>
    </row>
    <row r="3" spans="1:21" ht="20.100000000000001" customHeight="1" thickBot="1" x14ac:dyDescent="0.3">
      <c r="A3" s="4" t="s">
        <v>27</v>
      </c>
      <c r="B3" s="4" t="s">
        <v>0</v>
      </c>
      <c r="C3" s="4" t="s">
        <v>0</v>
      </c>
      <c r="D3" s="4" t="s">
        <v>0</v>
      </c>
      <c r="E3" s="4" t="s">
        <v>0</v>
      </c>
      <c r="F3" s="9" t="s">
        <v>37</v>
      </c>
      <c r="K3" s="245" t="s">
        <v>1</v>
      </c>
      <c r="L3" s="245"/>
      <c r="M3" s="245"/>
      <c r="N3" s="245"/>
      <c r="O3" s="245"/>
      <c r="P3" s="245"/>
      <c r="Q3" s="245"/>
      <c r="R3" s="245"/>
      <c r="S3" s="245"/>
      <c r="T3" s="245"/>
    </row>
    <row r="4" spans="1:21" ht="20.100000000000001" customHeight="1" thickBot="1" x14ac:dyDescent="0.3">
      <c r="A4" s="11">
        <v>1</v>
      </c>
      <c r="B4" s="18" t="s">
        <v>25</v>
      </c>
      <c r="C4" s="19" t="s">
        <v>9</v>
      </c>
      <c r="D4" s="18" t="s">
        <v>8</v>
      </c>
      <c r="E4" s="18" t="s">
        <v>2</v>
      </c>
      <c r="F4" s="244" t="s">
        <v>17</v>
      </c>
      <c r="G4" s="9"/>
      <c r="H4" s="9"/>
      <c r="I4" s="9"/>
      <c r="J4" s="21" t="s">
        <v>10</v>
      </c>
      <c r="K4" s="26" t="s">
        <v>28</v>
      </c>
      <c r="L4" s="26" t="s">
        <v>29</v>
      </c>
      <c r="M4" s="26" t="s">
        <v>30</v>
      </c>
      <c r="N4" s="26" t="s">
        <v>31</v>
      </c>
      <c r="O4" s="26" t="s">
        <v>32</v>
      </c>
      <c r="P4" s="26" t="s">
        <v>33</v>
      </c>
      <c r="Q4" s="26" t="s">
        <v>34</v>
      </c>
      <c r="R4" s="26" t="s">
        <v>35</v>
      </c>
      <c r="S4" s="26" t="s">
        <v>36</v>
      </c>
      <c r="T4" s="26" t="s">
        <v>38</v>
      </c>
      <c r="U4" s="27" t="s">
        <v>11</v>
      </c>
    </row>
    <row r="5" spans="1:21" ht="20.100000000000001" customHeight="1" thickBot="1" x14ac:dyDescent="0.3">
      <c r="A5" s="12">
        <v>2</v>
      </c>
      <c r="B5" s="13" t="s">
        <v>12</v>
      </c>
      <c r="C5" s="14" t="s">
        <v>23</v>
      </c>
      <c r="D5" s="14" t="s">
        <v>22</v>
      </c>
      <c r="E5" s="14" t="s">
        <v>21</v>
      </c>
      <c r="F5" s="244"/>
      <c r="G5" s="9"/>
      <c r="H5" s="9">
        <v>1</v>
      </c>
      <c r="I5" s="9"/>
      <c r="J5" s="24" t="s">
        <v>17</v>
      </c>
      <c r="K5" s="3">
        <v>0</v>
      </c>
      <c r="L5" s="3">
        <v>0</v>
      </c>
      <c r="M5" s="3">
        <v>0</v>
      </c>
      <c r="N5" s="3">
        <v>-16</v>
      </c>
      <c r="O5" s="3">
        <v>208</v>
      </c>
      <c r="P5" s="3">
        <v>142</v>
      </c>
      <c r="Q5" s="3">
        <v>-16</v>
      </c>
      <c r="R5" s="3">
        <v>-20</v>
      </c>
      <c r="S5" s="10">
        <v>45</v>
      </c>
      <c r="T5" s="10">
        <v>58</v>
      </c>
      <c r="U5" s="25">
        <f t="shared" ref="U5:U21" si="0">SUM(K5:T5)</f>
        <v>401</v>
      </c>
    </row>
    <row r="6" spans="1:21" ht="20.100000000000001" customHeight="1" thickBot="1" x14ac:dyDescent="0.3">
      <c r="A6" s="12">
        <v>3</v>
      </c>
      <c r="B6" s="13" t="s">
        <v>6</v>
      </c>
      <c r="C6" s="14" t="s">
        <v>5</v>
      </c>
      <c r="D6" s="14" t="s">
        <v>20</v>
      </c>
      <c r="E6" s="14" t="s">
        <v>19</v>
      </c>
      <c r="F6" s="244"/>
      <c r="G6" s="9"/>
      <c r="H6" s="9">
        <v>2</v>
      </c>
      <c r="I6" s="9"/>
      <c r="J6" s="20" t="s">
        <v>20</v>
      </c>
      <c r="K6" s="2">
        <v>76</v>
      </c>
      <c r="L6" s="2">
        <v>175</v>
      </c>
      <c r="M6" s="2">
        <v>12</v>
      </c>
      <c r="N6" s="2">
        <v>61</v>
      </c>
      <c r="O6" s="2">
        <v>37</v>
      </c>
      <c r="P6" s="2">
        <v>-2</v>
      </c>
      <c r="Q6" s="2">
        <v>39</v>
      </c>
      <c r="R6" s="2">
        <v>-3</v>
      </c>
      <c r="S6" s="7">
        <v>-12</v>
      </c>
      <c r="T6" s="7">
        <v>-23</v>
      </c>
      <c r="U6" s="8">
        <f t="shared" si="0"/>
        <v>360</v>
      </c>
    </row>
    <row r="7" spans="1:21" ht="20.100000000000001" customHeight="1" thickBot="1" x14ac:dyDescent="0.3">
      <c r="A7" s="12">
        <v>4</v>
      </c>
      <c r="B7" s="13" t="s">
        <v>18</v>
      </c>
      <c r="C7" s="14" t="s">
        <v>7</v>
      </c>
      <c r="D7" s="14" t="s">
        <v>4</v>
      </c>
      <c r="E7" s="14" t="s">
        <v>3</v>
      </c>
      <c r="F7" s="244"/>
      <c r="G7" s="9"/>
      <c r="H7" s="9">
        <v>3</v>
      </c>
      <c r="I7" s="9"/>
      <c r="J7" s="20" t="s">
        <v>4</v>
      </c>
      <c r="K7" s="2">
        <v>79</v>
      </c>
      <c r="L7" s="2">
        <v>-1</v>
      </c>
      <c r="M7" s="2">
        <v>-5</v>
      </c>
      <c r="N7" s="2">
        <v>88</v>
      </c>
      <c r="O7" s="2">
        <v>-17</v>
      </c>
      <c r="P7" s="2">
        <v>-24</v>
      </c>
      <c r="Q7" s="2">
        <v>-2</v>
      </c>
      <c r="R7" s="2">
        <v>-31</v>
      </c>
      <c r="S7" s="7">
        <v>105</v>
      </c>
      <c r="T7" s="7">
        <v>-11</v>
      </c>
      <c r="U7" s="8">
        <f t="shared" si="0"/>
        <v>181</v>
      </c>
    </row>
    <row r="8" spans="1:21" ht="20.100000000000001" customHeight="1" thickBot="1" x14ac:dyDescent="0.3">
      <c r="A8" s="5">
        <v>1</v>
      </c>
      <c r="B8" s="15" t="s">
        <v>3</v>
      </c>
      <c r="C8" s="16" t="s">
        <v>19</v>
      </c>
      <c r="D8" s="17" t="s">
        <v>21</v>
      </c>
      <c r="E8" s="17" t="s">
        <v>7</v>
      </c>
      <c r="F8" s="231" t="s">
        <v>17</v>
      </c>
      <c r="G8" s="9"/>
      <c r="H8" s="9">
        <v>4</v>
      </c>
      <c r="I8" s="9"/>
      <c r="J8" s="20" t="s">
        <v>9</v>
      </c>
      <c r="K8" s="2">
        <v>-21</v>
      </c>
      <c r="L8" s="2">
        <v>-14</v>
      </c>
      <c r="M8" s="2">
        <v>79</v>
      </c>
      <c r="N8" s="2">
        <v>-9</v>
      </c>
      <c r="O8" s="2">
        <v>-7</v>
      </c>
      <c r="P8" s="2">
        <v>106</v>
      </c>
      <c r="Q8" s="2">
        <v>-13</v>
      </c>
      <c r="R8" s="2">
        <v>61</v>
      </c>
      <c r="S8" s="7">
        <v>-7</v>
      </c>
      <c r="T8" s="7">
        <v>0</v>
      </c>
      <c r="U8" s="8">
        <f t="shared" si="0"/>
        <v>175</v>
      </c>
    </row>
    <row r="9" spans="1:21" ht="20.100000000000001" customHeight="1" thickBot="1" x14ac:dyDescent="0.3">
      <c r="A9" s="6">
        <v>2</v>
      </c>
      <c r="B9" s="15" t="s">
        <v>2</v>
      </c>
      <c r="C9" s="16" t="s">
        <v>18</v>
      </c>
      <c r="D9" s="17" t="s">
        <v>6</v>
      </c>
      <c r="E9" s="17" t="s">
        <v>12</v>
      </c>
      <c r="F9" s="231"/>
      <c r="G9" s="9"/>
      <c r="H9" s="9">
        <v>5</v>
      </c>
      <c r="I9" s="9"/>
      <c r="J9" s="20" t="s">
        <v>22</v>
      </c>
      <c r="K9" s="2">
        <v>-11</v>
      </c>
      <c r="L9" s="2">
        <v>-50</v>
      </c>
      <c r="M9" s="2">
        <v>-14</v>
      </c>
      <c r="N9" s="2">
        <v>197</v>
      </c>
      <c r="O9" s="2">
        <v>71</v>
      </c>
      <c r="P9" s="2">
        <v>-5</v>
      </c>
      <c r="Q9" s="2">
        <v>-4</v>
      </c>
      <c r="R9" s="2">
        <v>-26</v>
      </c>
      <c r="S9" s="7">
        <v>-81</v>
      </c>
      <c r="T9" s="7">
        <v>-21</v>
      </c>
      <c r="U9" s="8">
        <f t="shared" si="0"/>
        <v>56</v>
      </c>
    </row>
    <row r="10" spans="1:21" ht="20.100000000000001" customHeight="1" thickBot="1" x14ac:dyDescent="0.3">
      <c r="A10" s="6">
        <v>3</v>
      </c>
      <c r="B10" s="15" t="s">
        <v>4</v>
      </c>
      <c r="C10" s="17" t="s">
        <v>20</v>
      </c>
      <c r="D10" s="17" t="s">
        <v>22</v>
      </c>
      <c r="E10" s="17" t="s">
        <v>8</v>
      </c>
      <c r="F10" s="231"/>
      <c r="G10" s="9"/>
      <c r="H10" s="9">
        <v>6</v>
      </c>
      <c r="I10" s="9"/>
      <c r="J10" s="20" t="s">
        <v>21</v>
      </c>
      <c r="K10" s="2">
        <v>60</v>
      </c>
      <c r="L10" s="2">
        <v>-19</v>
      </c>
      <c r="M10" s="2">
        <v>-28</v>
      </c>
      <c r="N10" s="2">
        <v>-15</v>
      </c>
      <c r="O10" s="2">
        <v>-3</v>
      </c>
      <c r="P10" s="2">
        <v>-36</v>
      </c>
      <c r="Q10" s="2">
        <v>54</v>
      </c>
      <c r="R10" s="2">
        <v>-11</v>
      </c>
      <c r="S10" s="7">
        <v>-4</v>
      </c>
      <c r="T10" s="7">
        <v>36</v>
      </c>
      <c r="U10" s="8">
        <f t="shared" si="0"/>
        <v>34</v>
      </c>
    </row>
    <row r="11" spans="1:21" ht="20.100000000000001" customHeight="1" thickBot="1" x14ac:dyDescent="0.3">
      <c r="A11" s="6">
        <v>4</v>
      </c>
      <c r="B11" s="15" t="s">
        <v>25</v>
      </c>
      <c r="C11" s="17" t="s">
        <v>5</v>
      </c>
      <c r="D11" s="17" t="s">
        <v>23</v>
      </c>
      <c r="E11" s="17" t="s">
        <v>9</v>
      </c>
      <c r="F11" s="231"/>
      <c r="G11" s="9"/>
      <c r="H11" s="9">
        <v>7</v>
      </c>
      <c r="I11" s="9"/>
      <c r="J11" s="20" t="s">
        <v>3</v>
      </c>
      <c r="K11" s="2">
        <v>-12</v>
      </c>
      <c r="L11" s="2">
        <v>-20</v>
      </c>
      <c r="M11" s="2">
        <v>-23</v>
      </c>
      <c r="N11" s="2">
        <v>24</v>
      </c>
      <c r="O11" s="2">
        <v>65</v>
      </c>
      <c r="P11" s="2">
        <v>-41</v>
      </c>
      <c r="Q11" s="2">
        <v>-9</v>
      </c>
      <c r="R11" s="2">
        <v>-27</v>
      </c>
      <c r="S11" s="7">
        <v>82</v>
      </c>
      <c r="T11" s="7">
        <v>-24</v>
      </c>
      <c r="U11" s="8">
        <f t="shared" si="0"/>
        <v>15</v>
      </c>
    </row>
    <row r="12" spans="1:21" ht="20.100000000000001" customHeight="1" thickBot="1" x14ac:dyDescent="0.3">
      <c r="A12" s="11">
        <v>1</v>
      </c>
      <c r="B12" s="18" t="s">
        <v>2</v>
      </c>
      <c r="C12" s="19" t="s">
        <v>26</v>
      </c>
      <c r="D12" s="18" t="s">
        <v>18</v>
      </c>
      <c r="E12" s="18" t="s">
        <v>20</v>
      </c>
      <c r="F12" s="244" t="s">
        <v>17</v>
      </c>
      <c r="G12" s="9"/>
      <c r="H12" s="9">
        <v>8</v>
      </c>
      <c r="I12" s="9"/>
      <c r="J12" s="20" t="s">
        <v>18</v>
      </c>
      <c r="K12" s="2">
        <v>-43</v>
      </c>
      <c r="L12" s="2">
        <v>113</v>
      </c>
      <c r="M12" s="2">
        <v>-1</v>
      </c>
      <c r="N12" s="2">
        <v>-4</v>
      </c>
      <c r="O12" s="2">
        <v>-13</v>
      </c>
      <c r="P12" s="2">
        <v>37</v>
      </c>
      <c r="Q12" s="2">
        <v>-9</v>
      </c>
      <c r="R12" s="2">
        <v>-13</v>
      </c>
      <c r="S12" s="7">
        <v>-34</v>
      </c>
      <c r="T12" s="7">
        <v>-31</v>
      </c>
      <c r="U12" s="8">
        <f t="shared" si="0"/>
        <v>2</v>
      </c>
    </row>
    <row r="13" spans="1:21" ht="20.100000000000001" customHeight="1" thickBot="1" x14ac:dyDescent="0.3">
      <c r="A13" s="12">
        <v>2</v>
      </c>
      <c r="B13" s="13" t="s">
        <v>6</v>
      </c>
      <c r="C13" s="14" t="s">
        <v>22</v>
      </c>
      <c r="D13" s="14" t="s">
        <v>12</v>
      </c>
      <c r="E13" s="14" t="s">
        <v>8</v>
      </c>
      <c r="F13" s="244"/>
      <c r="G13" s="9"/>
      <c r="H13" s="9">
        <v>9</v>
      </c>
      <c r="I13" s="9"/>
      <c r="J13" s="20" t="s">
        <v>8</v>
      </c>
      <c r="K13" s="2">
        <v>113</v>
      </c>
      <c r="L13" s="2">
        <v>-124</v>
      </c>
      <c r="M13" s="2">
        <v>-3</v>
      </c>
      <c r="N13" s="2">
        <v>-40</v>
      </c>
      <c r="O13" s="2">
        <v>-37</v>
      </c>
      <c r="P13" s="2">
        <v>62</v>
      </c>
      <c r="Q13" s="2">
        <v>0</v>
      </c>
      <c r="R13" s="2">
        <v>-23</v>
      </c>
      <c r="S13" s="7">
        <v>-17</v>
      </c>
      <c r="T13" s="7">
        <v>-10</v>
      </c>
      <c r="U13" s="8">
        <f t="shared" si="0"/>
        <v>-79</v>
      </c>
    </row>
    <row r="14" spans="1:21" ht="20.100000000000001" customHeight="1" thickBot="1" x14ac:dyDescent="0.3">
      <c r="A14" s="12">
        <v>3</v>
      </c>
      <c r="B14" s="13" t="s">
        <v>25</v>
      </c>
      <c r="C14" s="14" t="s">
        <v>3</v>
      </c>
      <c r="D14" s="14" t="s">
        <v>9</v>
      </c>
      <c r="E14" s="14" t="s">
        <v>19</v>
      </c>
      <c r="F14" s="244"/>
      <c r="G14" s="9"/>
      <c r="H14" s="9">
        <v>10</v>
      </c>
      <c r="I14" s="9"/>
      <c r="J14" s="20" t="s">
        <v>23</v>
      </c>
      <c r="K14" s="2">
        <v>-23</v>
      </c>
      <c r="L14" s="2">
        <v>-7</v>
      </c>
      <c r="M14" s="2">
        <v>88</v>
      </c>
      <c r="N14" s="2">
        <v>-36</v>
      </c>
      <c r="O14" s="2">
        <v>-115</v>
      </c>
      <c r="P14" s="2">
        <v>-20</v>
      </c>
      <c r="Q14" s="2">
        <v>-12</v>
      </c>
      <c r="R14" s="2">
        <v>-10</v>
      </c>
      <c r="S14" s="7">
        <v>48</v>
      </c>
      <c r="T14" s="7">
        <v>-4</v>
      </c>
      <c r="U14" s="8">
        <f>SUM(K14:T14)</f>
        <v>-91</v>
      </c>
    </row>
    <row r="15" spans="1:21" ht="20.100000000000001" customHeight="1" thickBot="1" x14ac:dyDescent="0.3">
      <c r="A15" s="12">
        <v>4</v>
      </c>
      <c r="B15" s="13" t="s">
        <v>5</v>
      </c>
      <c r="C15" s="14" t="s">
        <v>21</v>
      </c>
      <c r="D15" s="14" t="s">
        <v>23</v>
      </c>
      <c r="E15" s="14" t="s">
        <v>7</v>
      </c>
      <c r="F15" s="244"/>
      <c r="G15" s="9"/>
      <c r="H15" s="9">
        <v>11</v>
      </c>
      <c r="I15" s="9"/>
      <c r="J15" s="20" t="s">
        <v>2</v>
      </c>
      <c r="K15" s="2">
        <v>-22</v>
      </c>
      <c r="L15" s="2">
        <v>-22</v>
      </c>
      <c r="M15" s="2">
        <v>-6</v>
      </c>
      <c r="N15" s="2">
        <v>0</v>
      </c>
      <c r="O15" s="2">
        <v>0</v>
      </c>
      <c r="P15" s="2">
        <v>-21</v>
      </c>
      <c r="Q15" s="2">
        <v>-25</v>
      </c>
      <c r="R15" s="2">
        <v>59</v>
      </c>
      <c r="S15" s="7">
        <v>-23</v>
      </c>
      <c r="T15" s="7">
        <v>-34</v>
      </c>
      <c r="U15" s="8">
        <f>SUM(K15:T15)</f>
        <v>-94</v>
      </c>
    </row>
    <row r="16" spans="1:21" ht="20.100000000000001" customHeight="1" thickBot="1" x14ac:dyDescent="0.3">
      <c r="A16" s="5">
        <v>1</v>
      </c>
      <c r="B16" s="15" t="s">
        <v>5</v>
      </c>
      <c r="C16" s="17" t="s">
        <v>22</v>
      </c>
      <c r="D16" s="17" t="s">
        <v>7</v>
      </c>
      <c r="E16" s="17" t="s">
        <v>25</v>
      </c>
      <c r="F16" s="231" t="s">
        <v>2</v>
      </c>
      <c r="G16" s="9"/>
      <c r="H16" s="9">
        <v>12</v>
      </c>
      <c r="I16" s="9"/>
      <c r="J16" s="20" t="s">
        <v>12</v>
      </c>
      <c r="K16" s="2">
        <v>-26</v>
      </c>
      <c r="L16" s="2">
        <v>-68</v>
      </c>
      <c r="M16" s="2">
        <v>28</v>
      </c>
      <c r="N16" s="2">
        <v>-11</v>
      </c>
      <c r="O16" s="2">
        <v>-29</v>
      </c>
      <c r="P16" s="2">
        <v>0</v>
      </c>
      <c r="Q16" s="2">
        <v>-18</v>
      </c>
      <c r="R16" s="2">
        <v>-10</v>
      </c>
      <c r="S16" s="7">
        <v>-38</v>
      </c>
      <c r="T16" s="7">
        <v>63</v>
      </c>
      <c r="U16" s="8">
        <f t="shared" si="0"/>
        <v>-109</v>
      </c>
    </row>
    <row r="17" spans="1:21" ht="20.100000000000001" customHeight="1" thickBot="1" x14ac:dyDescent="0.3">
      <c r="A17" s="6">
        <v>2</v>
      </c>
      <c r="B17" s="15" t="s">
        <v>12</v>
      </c>
      <c r="C17" s="16" t="s">
        <v>9</v>
      </c>
      <c r="D17" s="17" t="s">
        <v>3</v>
      </c>
      <c r="E17" s="17" t="s">
        <v>18</v>
      </c>
      <c r="F17" s="231"/>
      <c r="G17" s="9"/>
      <c r="H17" s="9">
        <v>13</v>
      </c>
      <c r="I17" s="9"/>
      <c r="J17" s="20" t="s">
        <v>6</v>
      </c>
      <c r="K17" s="2">
        <v>-5</v>
      </c>
      <c r="L17" s="2">
        <v>-13</v>
      </c>
      <c r="M17" s="2">
        <v>-11</v>
      </c>
      <c r="N17" s="2">
        <v>-41</v>
      </c>
      <c r="O17" s="2">
        <v>-29</v>
      </c>
      <c r="P17" s="2">
        <v>-9</v>
      </c>
      <c r="Q17" s="2">
        <v>25</v>
      </c>
      <c r="R17" s="2">
        <v>0</v>
      </c>
      <c r="S17" s="7">
        <v>-20</v>
      </c>
      <c r="T17" s="7">
        <v>-8</v>
      </c>
      <c r="U17" s="8">
        <f t="shared" si="0"/>
        <v>-111</v>
      </c>
    </row>
    <row r="18" spans="1:21" ht="20.100000000000001" customHeight="1" thickBot="1" x14ac:dyDescent="0.3">
      <c r="A18" s="6">
        <v>3</v>
      </c>
      <c r="B18" s="15" t="s">
        <v>8</v>
      </c>
      <c r="C18" s="17" t="s">
        <v>17</v>
      </c>
      <c r="D18" s="17" t="s">
        <v>20</v>
      </c>
      <c r="E18" s="17" t="s">
        <v>21</v>
      </c>
      <c r="F18" s="231"/>
      <c r="G18" s="9"/>
      <c r="H18" s="9">
        <v>14</v>
      </c>
      <c r="I18" s="9"/>
      <c r="J18" s="20" t="s">
        <v>7</v>
      </c>
      <c r="K18" s="2">
        <v>-24</v>
      </c>
      <c r="L18" s="2">
        <v>69</v>
      </c>
      <c r="M18" s="2">
        <v>-57</v>
      </c>
      <c r="N18" s="2">
        <v>-45</v>
      </c>
      <c r="O18" s="2">
        <v>-13</v>
      </c>
      <c r="P18" s="2">
        <v>-92</v>
      </c>
      <c r="Q18" s="2">
        <v>-4</v>
      </c>
      <c r="R18" s="2">
        <v>-57</v>
      </c>
      <c r="S18" s="7">
        <v>-7</v>
      </c>
      <c r="T18" s="7">
        <v>62</v>
      </c>
      <c r="U18" s="8">
        <f t="shared" si="0"/>
        <v>-168</v>
      </c>
    </row>
    <row r="19" spans="1:21" ht="20.100000000000001" customHeight="1" thickBot="1" x14ac:dyDescent="0.3">
      <c r="A19" s="6">
        <v>4</v>
      </c>
      <c r="B19" s="15" t="s">
        <v>4</v>
      </c>
      <c r="C19" s="17" t="s">
        <v>19</v>
      </c>
      <c r="D19" s="17" t="s">
        <v>6</v>
      </c>
      <c r="E19" s="17" t="s">
        <v>23</v>
      </c>
      <c r="F19" s="231"/>
      <c r="G19" s="9"/>
      <c r="H19" s="9">
        <v>15</v>
      </c>
      <c r="I19" s="9"/>
      <c r="J19" s="20" t="s">
        <v>5</v>
      </c>
      <c r="K19" s="2">
        <v>-11</v>
      </c>
      <c r="L19" s="2">
        <v>32</v>
      </c>
      <c r="M19" s="2">
        <v>-3</v>
      </c>
      <c r="N19" s="2">
        <v>-58</v>
      </c>
      <c r="O19" s="2">
        <v>-66</v>
      </c>
      <c r="P19" s="2">
        <v>-2</v>
      </c>
      <c r="Q19" s="2">
        <v>-19</v>
      </c>
      <c r="R19" s="2">
        <v>-23</v>
      </c>
      <c r="S19" s="7">
        <v>-24</v>
      </c>
      <c r="T19" s="7">
        <v>-28</v>
      </c>
      <c r="U19" s="8">
        <f t="shared" si="0"/>
        <v>-202</v>
      </c>
    </row>
    <row r="20" spans="1:21" ht="20.100000000000001" customHeight="1" thickBot="1" x14ac:dyDescent="0.3">
      <c r="A20" s="11">
        <v>1</v>
      </c>
      <c r="B20" s="18" t="s">
        <v>22</v>
      </c>
      <c r="C20" s="19" t="s">
        <v>18</v>
      </c>
      <c r="D20" s="18" t="s">
        <v>6</v>
      </c>
      <c r="E20" s="18" t="s">
        <v>12</v>
      </c>
      <c r="F20" s="244" t="s">
        <v>2</v>
      </c>
      <c r="G20" s="9"/>
      <c r="H20" s="9">
        <v>16</v>
      </c>
      <c r="I20" s="9"/>
      <c r="J20" s="29" t="s">
        <v>25</v>
      </c>
      <c r="K20" s="2">
        <v>-70</v>
      </c>
      <c r="L20" s="2">
        <v>-11</v>
      </c>
      <c r="M20" s="2">
        <v>-28</v>
      </c>
      <c r="N20" s="2">
        <v>-94</v>
      </c>
      <c r="O20" s="2">
        <v>-27</v>
      </c>
      <c r="P20" s="2">
        <v>-15</v>
      </c>
      <c r="Q20" s="2">
        <v>-23</v>
      </c>
      <c r="R20" s="2">
        <v>80</v>
      </c>
      <c r="S20" s="7">
        <v>0</v>
      </c>
      <c r="T20" s="7">
        <v>-24</v>
      </c>
      <c r="U20" s="8">
        <f t="shared" si="0"/>
        <v>-212</v>
      </c>
    </row>
    <row r="21" spans="1:21" ht="20.100000000000001" customHeight="1" thickBot="1" x14ac:dyDescent="0.3">
      <c r="A21" s="12">
        <v>2</v>
      </c>
      <c r="B21" s="13" t="s">
        <v>25</v>
      </c>
      <c r="C21" s="14" t="s">
        <v>17</v>
      </c>
      <c r="D21" s="14" t="s">
        <v>5</v>
      </c>
      <c r="E21" s="14" t="s">
        <v>23</v>
      </c>
      <c r="F21" s="244"/>
      <c r="G21" s="9"/>
      <c r="H21" s="9">
        <v>17</v>
      </c>
      <c r="I21" s="9"/>
      <c r="J21" s="28" t="s">
        <v>19</v>
      </c>
      <c r="K21" s="22">
        <v>-60</v>
      </c>
      <c r="L21" s="22">
        <v>-30</v>
      </c>
      <c r="M21" s="22">
        <v>-26</v>
      </c>
      <c r="N21" s="22">
        <v>-11</v>
      </c>
      <c r="O21" s="22">
        <v>-25</v>
      </c>
      <c r="P21" s="22">
        <v>-80</v>
      </c>
      <c r="Q21" s="22">
        <v>-37</v>
      </c>
      <c r="R21" s="22">
        <v>52</v>
      </c>
      <c r="S21" s="23">
        <v>-13</v>
      </c>
      <c r="T21" s="23">
        <v>-1</v>
      </c>
      <c r="U21" s="8">
        <f t="shared" si="0"/>
        <v>-231</v>
      </c>
    </row>
    <row r="22" spans="1:21" ht="20.100000000000001" customHeight="1" thickBot="1" x14ac:dyDescent="0.3">
      <c r="A22" s="12">
        <v>3</v>
      </c>
      <c r="B22" s="13" t="s">
        <v>9</v>
      </c>
      <c r="C22" s="14" t="s">
        <v>26</v>
      </c>
      <c r="D22" s="14" t="s">
        <v>20</v>
      </c>
      <c r="E22" s="14" t="s">
        <v>7</v>
      </c>
      <c r="F22" s="244"/>
      <c r="G22" s="9"/>
      <c r="H22" s="9"/>
      <c r="I22" s="9"/>
    </row>
    <row r="23" spans="1:21" ht="20.100000000000001" customHeight="1" thickBot="1" x14ac:dyDescent="0.3">
      <c r="A23" s="12">
        <v>4</v>
      </c>
      <c r="B23" s="13" t="s">
        <v>8</v>
      </c>
      <c r="C23" s="14" t="s">
        <v>3</v>
      </c>
      <c r="D23" s="14" t="s">
        <v>19</v>
      </c>
      <c r="E23" s="14" t="s">
        <v>21</v>
      </c>
      <c r="F23" s="244"/>
      <c r="G23" s="9"/>
      <c r="H23" s="9"/>
      <c r="I23" s="9"/>
      <c r="J23" s="246" t="s">
        <v>39</v>
      </c>
      <c r="K23" s="247"/>
      <c r="L23" s="247"/>
      <c r="M23" s="247"/>
      <c r="N23" s="247"/>
      <c r="O23" s="247"/>
      <c r="P23" s="247"/>
      <c r="Q23" s="247"/>
      <c r="R23" s="248"/>
    </row>
    <row r="24" spans="1:21" ht="20.100000000000001" customHeight="1" x14ac:dyDescent="0.25">
      <c r="A24" s="5">
        <v>1</v>
      </c>
      <c r="B24" s="15" t="s">
        <v>2</v>
      </c>
      <c r="C24" s="17" t="s">
        <v>19</v>
      </c>
      <c r="D24" s="17" t="s">
        <v>22</v>
      </c>
      <c r="E24" s="17" t="s">
        <v>9</v>
      </c>
      <c r="F24" s="231" t="s">
        <v>12</v>
      </c>
      <c r="G24" s="9"/>
      <c r="H24" s="9"/>
      <c r="I24" s="9"/>
      <c r="J24" s="249"/>
      <c r="K24" s="250"/>
      <c r="L24" s="250"/>
      <c r="M24" s="250"/>
      <c r="N24" s="250"/>
      <c r="O24" s="250"/>
      <c r="P24" s="250"/>
      <c r="Q24" s="250"/>
      <c r="R24" s="251"/>
      <c r="S24" s="9"/>
      <c r="U24" s="9"/>
    </row>
    <row r="25" spans="1:21" ht="20.100000000000001" customHeight="1" thickBot="1" x14ac:dyDescent="0.3">
      <c r="A25" s="6">
        <v>2</v>
      </c>
      <c r="B25" s="15" t="s">
        <v>17</v>
      </c>
      <c r="C25" s="17" t="s">
        <v>6</v>
      </c>
      <c r="D25" s="17" t="s">
        <v>7</v>
      </c>
      <c r="E25" s="17" t="s">
        <v>3</v>
      </c>
      <c r="F25" s="231"/>
      <c r="G25" s="9"/>
      <c r="H25" s="9"/>
      <c r="I25" s="9"/>
      <c r="J25" s="32"/>
      <c r="K25" s="33"/>
      <c r="L25" s="33"/>
      <c r="M25" s="33"/>
      <c r="N25" s="33"/>
      <c r="O25" s="33"/>
      <c r="P25" s="33"/>
      <c r="Q25" s="33"/>
      <c r="R25" s="34"/>
    </row>
    <row r="26" spans="1:21" ht="20.100000000000001" customHeight="1" x14ac:dyDescent="0.25">
      <c r="A26" s="6">
        <v>3</v>
      </c>
      <c r="B26" s="15" t="s">
        <v>20</v>
      </c>
      <c r="C26" s="17" t="s">
        <v>23</v>
      </c>
      <c r="D26" s="17" t="s">
        <v>25</v>
      </c>
      <c r="E26" s="17" t="s">
        <v>18</v>
      </c>
      <c r="F26" s="231"/>
      <c r="G26" s="9"/>
      <c r="H26" s="9"/>
      <c r="I26" s="9"/>
      <c r="J26" s="32"/>
      <c r="K26" s="33"/>
      <c r="L26" s="33"/>
      <c r="M26" s="238" t="str">
        <f>J5</f>
        <v>Christoffer</v>
      </c>
      <c r="N26" s="239"/>
      <c r="O26" s="240"/>
      <c r="P26" s="33"/>
      <c r="Q26" s="33"/>
      <c r="R26" s="34"/>
    </row>
    <row r="27" spans="1:21" ht="20.100000000000001" customHeight="1" thickBot="1" x14ac:dyDescent="0.3">
      <c r="A27" s="6">
        <v>4</v>
      </c>
      <c r="B27" s="15" t="s">
        <v>21</v>
      </c>
      <c r="C27" s="17" t="s">
        <v>8</v>
      </c>
      <c r="D27" s="17" t="s">
        <v>4</v>
      </c>
      <c r="E27" s="17" t="s">
        <v>5</v>
      </c>
      <c r="F27" s="231"/>
      <c r="G27" s="9"/>
      <c r="H27" s="9"/>
      <c r="I27" s="9"/>
      <c r="J27" s="32"/>
      <c r="K27" s="33"/>
      <c r="L27" s="33"/>
      <c r="M27" s="241"/>
      <c r="N27" s="242"/>
      <c r="O27" s="243"/>
      <c r="P27" s="33"/>
      <c r="Q27" s="33"/>
      <c r="R27" s="34"/>
    </row>
    <row r="28" spans="1:21" ht="20.100000000000001" customHeight="1" x14ac:dyDescent="0.25">
      <c r="A28" s="11">
        <v>1</v>
      </c>
      <c r="B28" s="18" t="s">
        <v>23</v>
      </c>
      <c r="C28" s="19" t="s">
        <v>20</v>
      </c>
      <c r="D28" s="18" t="s">
        <v>12</v>
      </c>
      <c r="E28" s="18" t="s">
        <v>3</v>
      </c>
      <c r="F28" s="244" t="s">
        <v>8</v>
      </c>
      <c r="G28" s="9"/>
      <c r="H28" s="9"/>
      <c r="I28" s="9"/>
      <c r="J28" s="232" t="str">
        <f>J6</f>
        <v>Natasja</v>
      </c>
      <c r="K28" s="233"/>
      <c r="L28" s="234"/>
      <c r="M28" s="33"/>
      <c r="N28" s="33"/>
      <c r="O28" s="33"/>
      <c r="P28" s="252" t="str">
        <f>J7</f>
        <v>Josephine</v>
      </c>
      <c r="Q28" s="253"/>
      <c r="R28" s="254"/>
    </row>
    <row r="29" spans="1:21" ht="20.100000000000001" customHeight="1" thickBot="1" x14ac:dyDescent="0.3">
      <c r="A29" s="12">
        <v>2</v>
      </c>
      <c r="B29" s="13" t="s">
        <v>5</v>
      </c>
      <c r="C29" s="14" t="s">
        <v>7</v>
      </c>
      <c r="D29" s="14" t="s">
        <v>4</v>
      </c>
      <c r="E29" s="14" t="s">
        <v>6</v>
      </c>
      <c r="F29" s="244"/>
      <c r="G29" s="9"/>
      <c r="H29" s="9"/>
      <c r="I29" s="9"/>
      <c r="J29" s="235"/>
      <c r="K29" s="236"/>
      <c r="L29" s="237"/>
      <c r="M29" s="35"/>
      <c r="N29" s="35"/>
      <c r="O29" s="35"/>
      <c r="P29" s="255"/>
      <c r="Q29" s="256"/>
      <c r="R29" s="257"/>
    </row>
    <row r="30" spans="1:21" ht="20.100000000000001" customHeight="1" x14ac:dyDescent="0.25">
      <c r="A30" s="12">
        <v>3</v>
      </c>
      <c r="B30" s="13" t="s">
        <v>2</v>
      </c>
      <c r="C30" s="14" t="s">
        <v>17</v>
      </c>
      <c r="D30" s="14" t="s">
        <v>21</v>
      </c>
      <c r="E30" s="14" t="s">
        <v>9</v>
      </c>
      <c r="F30" s="244"/>
      <c r="G30" s="9"/>
      <c r="H30" s="9"/>
      <c r="I30" s="9"/>
    </row>
    <row r="31" spans="1:21" ht="20.100000000000001" customHeight="1" thickBot="1" x14ac:dyDescent="0.3">
      <c r="A31" s="12">
        <v>4</v>
      </c>
      <c r="B31" s="13" t="s">
        <v>18</v>
      </c>
      <c r="C31" s="14" t="s">
        <v>22</v>
      </c>
      <c r="D31" s="14" t="s">
        <v>25</v>
      </c>
      <c r="E31" s="14" t="s">
        <v>19</v>
      </c>
      <c r="F31" s="244"/>
      <c r="G31" s="9"/>
      <c r="H31" s="9"/>
      <c r="I31" s="9"/>
    </row>
    <row r="32" spans="1:21" ht="20.100000000000001" customHeight="1" x14ac:dyDescent="0.25">
      <c r="A32" s="5">
        <v>1</v>
      </c>
      <c r="B32" s="17" t="s">
        <v>25</v>
      </c>
      <c r="C32" s="17" t="s">
        <v>20</v>
      </c>
      <c r="D32" s="17" t="s">
        <v>7</v>
      </c>
      <c r="E32" s="17" t="s">
        <v>17</v>
      </c>
      <c r="F32" s="231" t="s">
        <v>6</v>
      </c>
      <c r="G32" s="9"/>
      <c r="H32" s="9"/>
      <c r="I32" s="9"/>
    </row>
    <row r="33" spans="1:9" ht="20.100000000000001" customHeight="1" x14ac:dyDescent="0.25">
      <c r="A33" s="6">
        <v>2</v>
      </c>
      <c r="B33" s="15" t="s">
        <v>19</v>
      </c>
      <c r="C33" s="17" t="s">
        <v>12</v>
      </c>
      <c r="D33" s="17" t="s">
        <v>4</v>
      </c>
      <c r="E33" s="30" t="s">
        <v>21</v>
      </c>
      <c r="F33" s="231"/>
      <c r="G33" s="9"/>
      <c r="H33" s="9"/>
      <c r="I33" s="9"/>
    </row>
    <row r="34" spans="1:9" ht="20.100000000000001" customHeight="1" x14ac:dyDescent="0.25">
      <c r="A34" s="6">
        <v>3</v>
      </c>
      <c r="B34" s="15" t="s">
        <v>23</v>
      </c>
      <c r="C34" s="17" t="s">
        <v>3</v>
      </c>
      <c r="D34" s="17" t="s">
        <v>22</v>
      </c>
      <c r="E34" s="17" t="s">
        <v>9</v>
      </c>
      <c r="F34" s="231"/>
      <c r="G34" s="9"/>
      <c r="H34" s="9"/>
      <c r="I34" s="9"/>
    </row>
    <row r="35" spans="1:9" ht="20.100000000000001" customHeight="1" thickBot="1" x14ac:dyDescent="0.3">
      <c r="A35" s="6">
        <v>4</v>
      </c>
      <c r="B35" s="15" t="s">
        <v>2</v>
      </c>
      <c r="C35" s="17" t="s">
        <v>5</v>
      </c>
      <c r="D35" s="17" t="s">
        <v>8</v>
      </c>
      <c r="E35" s="17" t="s">
        <v>18</v>
      </c>
      <c r="F35" s="231"/>
      <c r="G35" s="9"/>
      <c r="H35" s="9"/>
      <c r="I35" s="9"/>
    </row>
    <row r="36" spans="1:9" ht="20.100000000000001" customHeight="1" x14ac:dyDescent="0.25">
      <c r="A36" s="11">
        <v>1</v>
      </c>
      <c r="B36" s="14" t="s">
        <v>20</v>
      </c>
      <c r="C36" s="14" t="s">
        <v>19</v>
      </c>
      <c r="D36" s="14" t="s">
        <v>23</v>
      </c>
      <c r="E36" s="14" t="s">
        <v>2</v>
      </c>
      <c r="F36" s="244" t="s">
        <v>25</v>
      </c>
      <c r="G36" s="9"/>
      <c r="H36" s="9"/>
      <c r="I36" s="9"/>
    </row>
    <row r="37" spans="1:9" ht="20.100000000000001" customHeight="1" x14ac:dyDescent="0.25">
      <c r="A37" s="12">
        <v>2</v>
      </c>
      <c r="B37" s="13" t="s">
        <v>6</v>
      </c>
      <c r="C37" s="14" t="s">
        <v>12</v>
      </c>
      <c r="D37" s="14" t="s">
        <v>3</v>
      </c>
      <c r="E37" s="31" t="s">
        <v>5</v>
      </c>
      <c r="F37" s="244"/>
    </row>
    <row r="38" spans="1:9" ht="20.100000000000001" customHeight="1" x14ac:dyDescent="0.25">
      <c r="A38" s="12">
        <v>3</v>
      </c>
      <c r="B38" s="13" t="s">
        <v>7</v>
      </c>
      <c r="C38" s="14" t="s">
        <v>26</v>
      </c>
      <c r="D38" s="14" t="s">
        <v>22</v>
      </c>
      <c r="E38" s="14" t="s">
        <v>8</v>
      </c>
      <c r="F38" s="244"/>
    </row>
    <row r="39" spans="1:9" ht="20.100000000000001" customHeight="1" thickBot="1" x14ac:dyDescent="0.3">
      <c r="A39" s="12">
        <v>4</v>
      </c>
      <c r="B39" s="13" t="s">
        <v>21</v>
      </c>
      <c r="C39" s="14" t="s">
        <v>17</v>
      </c>
      <c r="D39" s="14" t="s">
        <v>9</v>
      </c>
      <c r="E39" s="14" t="s">
        <v>18</v>
      </c>
      <c r="F39" s="244"/>
    </row>
    <row r="40" spans="1:9" ht="20.100000000000001" customHeight="1" x14ac:dyDescent="0.25">
      <c r="A40" s="5">
        <v>1</v>
      </c>
      <c r="B40" s="17" t="s">
        <v>4</v>
      </c>
      <c r="C40" s="17" t="s">
        <v>20</v>
      </c>
      <c r="D40" s="17" t="s">
        <v>17</v>
      </c>
      <c r="E40" s="17" t="s">
        <v>25</v>
      </c>
      <c r="F40" s="231" t="s">
        <v>9</v>
      </c>
    </row>
    <row r="41" spans="1:9" ht="20.100000000000001" customHeight="1" x14ac:dyDescent="0.25">
      <c r="A41" s="6">
        <v>2</v>
      </c>
      <c r="B41" s="15" t="s">
        <v>3</v>
      </c>
      <c r="C41" s="17" t="s">
        <v>5</v>
      </c>
      <c r="D41" s="17" t="s">
        <v>7</v>
      </c>
      <c r="E41" s="30" t="s">
        <v>8</v>
      </c>
      <c r="F41" s="231"/>
    </row>
    <row r="42" spans="1:9" ht="20.100000000000001" customHeight="1" x14ac:dyDescent="0.25">
      <c r="A42" s="6">
        <v>3</v>
      </c>
      <c r="B42" s="15" t="s">
        <v>23</v>
      </c>
      <c r="C42" s="17" t="s">
        <v>19</v>
      </c>
      <c r="D42" s="17" t="s">
        <v>18</v>
      </c>
      <c r="E42" s="17" t="s">
        <v>21</v>
      </c>
      <c r="F42" s="231"/>
    </row>
    <row r="43" spans="1:9" ht="20.100000000000001" customHeight="1" x14ac:dyDescent="0.25">
      <c r="A43" s="6">
        <v>4</v>
      </c>
      <c r="B43" s="15" t="s">
        <v>22</v>
      </c>
      <c r="C43" s="17" t="s">
        <v>6</v>
      </c>
      <c r="D43" s="17" t="s">
        <v>2</v>
      </c>
      <c r="E43" s="17" t="s">
        <v>12</v>
      </c>
      <c r="F43" s="231"/>
    </row>
    <row r="44" spans="1:9" ht="19.5" customHeight="1" x14ac:dyDescent="0.25"/>
    <row r="45" spans="1:9" ht="20.100000000000001" customHeight="1" x14ac:dyDescent="0.25">
      <c r="A45" t="s">
        <v>13</v>
      </c>
    </row>
    <row r="46" spans="1:9" ht="20.100000000000001" customHeight="1" x14ac:dyDescent="0.25">
      <c r="A46" t="s">
        <v>14</v>
      </c>
    </row>
    <row r="47" spans="1:9" ht="20.100000000000001" customHeight="1" x14ac:dyDescent="0.25">
      <c r="A47" t="s">
        <v>15</v>
      </c>
    </row>
    <row r="48" spans="1:9" ht="20.100000000000001" customHeight="1" x14ac:dyDescent="0.25">
      <c r="A48" t="s">
        <v>16</v>
      </c>
    </row>
  </sheetData>
  <mergeCells count="15">
    <mergeCell ref="K3:T3"/>
    <mergeCell ref="F20:F23"/>
    <mergeCell ref="F24:F27"/>
    <mergeCell ref="F28:F31"/>
    <mergeCell ref="J23:R24"/>
    <mergeCell ref="F4:F7"/>
    <mergeCell ref="F8:F11"/>
    <mergeCell ref="F12:F15"/>
    <mergeCell ref="F16:F19"/>
    <mergeCell ref="P28:R29"/>
    <mergeCell ref="F40:F43"/>
    <mergeCell ref="J28:L29"/>
    <mergeCell ref="M26:O27"/>
    <mergeCell ref="F32:F35"/>
    <mergeCell ref="F36:F39"/>
  </mergeCells>
  <phoneticPr fontId="0" type="noConversion"/>
  <conditionalFormatting sqref="K5:U21">
    <cfRule type="cellIs" dxfId="20" priority="1" stopIfTrue="1" operator="greaterThan">
      <formula>0</formula>
    </cfRule>
    <cfRule type="cellIs" dxfId="19" priority="2" stopIfTrue="1" operator="lessThan">
      <formula>0</formula>
    </cfRule>
    <cfRule type="cellIs" dxfId="18" priority="3" stopIfTrue="1" operator="equal">
      <formula>0</formula>
    </cfRule>
  </conditionalFormatting>
  <pageMargins left="0.36" right="0.43" top="1" bottom="1" header="0.5" footer="0.5"/>
  <pageSetup paperSize="9" orientation="portrait" horizont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12"/>
  <dimension ref="A1:U48"/>
  <sheetViews>
    <sheetView zoomScale="65" workbookViewId="0">
      <selection activeCell="J5" sqref="J5:U21"/>
    </sheetView>
  </sheetViews>
  <sheetFormatPr defaultRowHeight="20.100000000000001" customHeight="1" x14ac:dyDescent="0.25"/>
  <cols>
    <col min="2" max="4" width="13.77734375" customWidth="1"/>
    <col min="5" max="5" width="13.21875" customWidth="1"/>
    <col min="7" max="7" width="9.21875" customWidth="1"/>
    <col min="8" max="8" width="4.77734375" customWidth="1"/>
    <col min="10" max="10" width="11.21875" bestFit="1" customWidth="1"/>
    <col min="19" max="19" width="9.77734375" bestFit="1" customWidth="1"/>
  </cols>
  <sheetData>
    <row r="1" spans="1:21" ht="20.100000000000001" customHeight="1" x14ac:dyDescent="0.3">
      <c r="A1" s="1" t="s">
        <v>41</v>
      </c>
      <c r="D1" s="36"/>
    </row>
    <row r="3" spans="1:21" ht="20.100000000000001" customHeight="1" thickBot="1" x14ac:dyDescent="0.3">
      <c r="A3" s="4" t="s">
        <v>27</v>
      </c>
      <c r="B3" s="4" t="s">
        <v>0</v>
      </c>
      <c r="C3" s="4" t="s">
        <v>0</v>
      </c>
      <c r="D3" s="4" t="s">
        <v>0</v>
      </c>
      <c r="E3" s="4" t="s">
        <v>0</v>
      </c>
      <c r="F3" s="9" t="s">
        <v>37</v>
      </c>
      <c r="K3" s="245" t="s">
        <v>1</v>
      </c>
      <c r="L3" s="245"/>
      <c r="M3" s="245"/>
      <c r="N3" s="245"/>
      <c r="O3" s="245"/>
      <c r="P3" s="245"/>
      <c r="Q3" s="245"/>
      <c r="R3" s="245"/>
      <c r="S3" s="245"/>
      <c r="T3" s="245"/>
    </row>
    <row r="4" spans="1:21" ht="20.100000000000001" customHeight="1" thickBot="1" x14ac:dyDescent="0.3">
      <c r="A4" s="11">
        <v>1</v>
      </c>
      <c r="B4" s="18" t="s">
        <v>17</v>
      </c>
      <c r="C4" s="19" t="s">
        <v>9</v>
      </c>
      <c r="D4" s="18" t="s">
        <v>8</v>
      </c>
      <c r="E4" s="18" t="s">
        <v>2</v>
      </c>
      <c r="F4" s="244" t="s">
        <v>25</v>
      </c>
      <c r="G4" s="259" t="s">
        <v>28</v>
      </c>
      <c r="H4" s="9"/>
      <c r="I4" s="9"/>
      <c r="J4" s="21" t="s">
        <v>10</v>
      </c>
      <c r="K4" s="26" t="s">
        <v>28</v>
      </c>
      <c r="L4" s="26" t="s">
        <v>29</v>
      </c>
      <c r="M4" s="26" t="s">
        <v>30</v>
      </c>
      <c r="N4" s="26" t="s">
        <v>31</v>
      </c>
      <c r="O4" s="26" t="s">
        <v>32</v>
      </c>
      <c r="P4" s="26" t="s">
        <v>33</v>
      </c>
      <c r="Q4" s="26" t="s">
        <v>34</v>
      </c>
      <c r="R4" s="26" t="s">
        <v>35</v>
      </c>
      <c r="S4" s="26" t="s">
        <v>36</v>
      </c>
      <c r="T4" s="26" t="s">
        <v>38</v>
      </c>
      <c r="U4" s="27" t="s">
        <v>11</v>
      </c>
    </row>
    <row r="5" spans="1:21" ht="20.100000000000001" customHeight="1" thickBot="1" x14ac:dyDescent="0.3">
      <c r="A5" s="12">
        <v>2</v>
      </c>
      <c r="B5" s="13" t="s">
        <v>12</v>
      </c>
      <c r="C5" s="14" t="s">
        <v>43</v>
      </c>
      <c r="D5" s="14" t="s">
        <v>22</v>
      </c>
      <c r="E5" s="14" t="s">
        <v>21</v>
      </c>
      <c r="F5" s="244"/>
      <c r="G5" s="259"/>
      <c r="H5" s="9">
        <v>1</v>
      </c>
      <c r="I5" s="9"/>
      <c r="J5" s="24" t="s">
        <v>21</v>
      </c>
      <c r="K5" s="3">
        <v>-7</v>
      </c>
      <c r="L5" s="3">
        <v>60</v>
      </c>
      <c r="M5" s="3">
        <f>17+43+46</f>
        <v>106</v>
      </c>
      <c r="N5" s="3">
        <f>23+33+26</f>
        <v>82</v>
      </c>
      <c r="O5" s="3">
        <v>-9</v>
      </c>
      <c r="P5" s="3">
        <v>-6</v>
      </c>
      <c r="Q5" s="3">
        <v>-50</v>
      </c>
      <c r="R5" s="3">
        <v>-3</v>
      </c>
      <c r="S5" s="10">
        <f>47+80+95</f>
        <v>222</v>
      </c>
      <c r="T5" s="10"/>
      <c r="U5" s="25">
        <f t="shared" ref="U5:U21" si="0">SUM(K5:T5)</f>
        <v>395</v>
      </c>
    </row>
    <row r="6" spans="1:21" ht="20.100000000000001" customHeight="1" thickBot="1" x14ac:dyDescent="0.3">
      <c r="A6" s="12">
        <v>3</v>
      </c>
      <c r="B6" s="13" t="s">
        <v>44</v>
      </c>
      <c r="C6" s="14" t="s">
        <v>5</v>
      </c>
      <c r="D6" s="14" t="s">
        <v>20</v>
      </c>
      <c r="E6" s="14" t="s">
        <v>19</v>
      </c>
      <c r="F6" s="244"/>
      <c r="G6" s="259"/>
      <c r="H6" s="9">
        <v>2</v>
      </c>
      <c r="I6" s="9"/>
      <c r="J6" s="20" t="s">
        <v>18</v>
      </c>
      <c r="K6" s="2">
        <v>-5</v>
      </c>
      <c r="L6" s="2">
        <v>106</v>
      </c>
      <c r="M6" s="2">
        <v>-5</v>
      </c>
      <c r="N6" s="2">
        <v>27</v>
      </c>
      <c r="O6" s="2">
        <v>-1</v>
      </c>
      <c r="P6" s="2">
        <v>-4</v>
      </c>
      <c r="Q6" s="2">
        <v>66</v>
      </c>
      <c r="R6" s="2">
        <v>38</v>
      </c>
      <c r="S6" s="7">
        <v>-47</v>
      </c>
      <c r="T6" s="7"/>
      <c r="U6" s="8">
        <f t="shared" si="0"/>
        <v>175</v>
      </c>
    </row>
    <row r="7" spans="1:21" ht="20.100000000000001" customHeight="1" thickBot="1" x14ac:dyDescent="0.3">
      <c r="A7" s="12">
        <v>4</v>
      </c>
      <c r="B7" s="13" t="s">
        <v>18</v>
      </c>
      <c r="C7" s="14" t="s">
        <v>7</v>
      </c>
      <c r="D7" s="14" t="s">
        <v>4</v>
      </c>
      <c r="E7" s="14" t="s">
        <v>3</v>
      </c>
      <c r="F7" s="244"/>
      <c r="G7" s="259"/>
      <c r="H7" s="9">
        <v>3</v>
      </c>
      <c r="I7" s="9"/>
      <c r="J7" s="20" t="s">
        <v>3</v>
      </c>
      <c r="K7" s="2">
        <v>-12</v>
      </c>
      <c r="L7" s="2">
        <v>-20</v>
      </c>
      <c r="M7" s="2">
        <v>-15</v>
      </c>
      <c r="N7" s="2">
        <v>0</v>
      </c>
      <c r="O7" s="2">
        <v>-21</v>
      </c>
      <c r="P7" s="2">
        <v>101</v>
      </c>
      <c r="Q7" s="2">
        <f>13+43+14</f>
        <v>70</v>
      </c>
      <c r="R7" s="2">
        <v>-93</v>
      </c>
      <c r="S7" s="7">
        <v>109</v>
      </c>
      <c r="T7" s="7"/>
      <c r="U7" s="8">
        <f t="shared" si="0"/>
        <v>119</v>
      </c>
    </row>
    <row r="8" spans="1:21" ht="20.100000000000001" customHeight="1" thickBot="1" x14ac:dyDescent="0.3">
      <c r="A8" s="5">
        <v>1</v>
      </c>
      <c r="B8" s="15" t="s">
        <v>3</v>
      </c>
      <c r="C8" s="16" t="s">
        <v>19</v>
      </c>
      <c r="D8" s="17" t="s">
        <v>21</v>
      </c>
      <c r="E8" s="17" t="s">
        <v>7</v>
      </c>
      <c r="F8" s="231" t="s">
        <v>25</v>
      </c>
      <c r="G8" s="258" t="s">
        <v>29</v>
      </c>
      <c r="H8" s="9">
        <v>4</v>
      </c>
      <c r="I8" s="9"/>
      <c r="J8" s="20" t="s">
        <v>8</v>
      </c>
      <c r="K8" s="2">
        <v>138</v>
      </c>
      <c r="L8" s="2">
        <v>10</v>
      </c>
      <c r="M8" s="2">
        <v>-15</v>
      </c>
      <c r="N8" s="2">
        <v>-26</v>
      </c>
      <c r="O8" s="2">
        <v>-11</v>
      </c>
      <c r="P8" s="2">
        <f>48+13+6</f>
        <v>67</v>
      </c>
      <c r="Q8" s="2">
        <v>-43</v>
      </c>
      <c r="R8" s="2">
        <v>0</v>
      </c>
      <c r="S8" s="7">
        <v>-13</v>
      </c>
      <c r="T8" s="7"/>
      <c r="U8" s="8">
        <f t="shared" si="0"/>
        <v>107</v>
      </c>
    </row>
    <row r="9" spans="1:21" ht="20.100000000000001" customHeight="1" thickBot="1" x14ac:dyDescent="0.3">
      <c r="A9" s="6">
        <v>2</v>
      </c>
      <c r="B9" s="15" t="s">
        <v>2</v>
      </c>
      <c r="C9" s="16" t="s">
        <v>18</v>
      </c>
      <c r="D9" s="17" t="s">
        <v>44</v>
      </c>
      <c r="E9" s="17" t="s">
        <v>12</v>
      </c>
      <c r="F9" s="231"/>
      <c r="G9" s="258"/>
      <c r="H9" s="9">
        <v>5</v>
      </c>
      <c r="I9" s="9"/>
      <c r="J9" s="20" t="s">
        <v>20</v>
      </c>
      <c r="K9" s="2">
        <v>105</v>
      </c>
      <c r="L9" s="2">
        <v>-2</v>
      </c>
      <c r="M9" s="2">
        <v>27</v>
      </c>
      <c r="N9" s="2">
        <v>-23</v>
      </c>
      <c r="O9" s="2">
        <v>-2</v>
      </c>
      <c r="P9" s="2">
        <v>43</v>
      </c>
      <c r="Q9" s="2">
        <v>-14</v>
      </c>
      <c r="R9" s="2">
        <v>-11</v>
      </c>
      <c r="S9" s="7">
        <v>-30</v>
      </c>
      <c r="T9" s="7"/>
      <c r="U9" s="8">
        <f t="shared" si="0"/>
        <v>93</v>
      </c>
    </row>
    <row r="10" spans="1:21" ht="20.100000000000001" customHeight="1" thickBot="1" x14ac:dyDescent="0.3">
      <c r="A10" s="6">
        <v>3</v>
      </c>
      <c r="B10" s="15" t="s">
        <v>17</v>
      </c>
      <c r="C10" s="17" t="s">
        <v>20</v>
      </c>
      <c r="D10" s="17" t="s">
        <v>22</v>
      </c>
      <c r="E10" s="17" t="s">
        <v>8</v>
      </c>
      <c r="F10" s="231"/>
      <c r="G10" s="258"/>
      <c r="H10" s="9">
        <v>6</v>
      </c>
      <c r="I10" s="9"/>
      <c r="J10" s="20" t="s">
        <v>5</v>
      </c>
      <c r="K10" s="2">
        <v>-50</v>
      </c>
      <c r="L10" s="2">
        <v>-4</v>
      </c>
      <c r="M10" s="2">
        <v>-46</v>
      </c>
      <c r="N10" s="2">
        <v>21</v>
      </c>
      <c r="O10" s="2">
        <v>-4</v>
      </c>
      <c r="P10" s="2">
        <v>-13</v>
      </c>
      <c r="Q10" s="2">
        <v>-28</v>
      </c>
      <c r="R10" s="2">
        <v>153</v>
      </c>
      <c r="S10" s="7">
        <v>-20</v>
      </c>
      <c r="T10" s="7"/>
      <c r="U10" s="8">
        <f t="shared" si="0"/>
        <v>9</v>
      </c>
    </row>
    <row r="11" spans="1:21" ht="20.100000000000001" customHeight="1" thickBot="1" x14ac:dyDescent="0.3">
      <c r="A11" s="6">
        <v>4</v>
      </c>
      <c r="B11" s="15" t="s">
        <v>4</v>
      </c>
      <c r="C11" s="17" t="s">
        <v>5</v>
      </c>
      <c r="D11" s="17" t="s">
        <v>43</v>
      </c>
      <c r="E11" s="17" t="s">
        <v>9</v>
      </c>
      <c r="F11" s="231"/>
      <c r="G11" s="258"/>
      <c r="H11" s="9">
        <v>7</v>
      </c>
      <c r="I11" s="9"/>
      <c r="J11" s="20" t="s">
        <v>17</v>
      </c>
      <c r="K11" s="2">
        <v>-36</v>
      </c>
      <c r="L11" s="2">
        <v>-2</v>
      </c>
      <c r="M11" s="2">
        <v>-54</v>
      </c>
      <c r="N11" s="2">
        <v>-33</v>
      </c>
      <c r="O11" s="2">
        <v>43</v>
      </c>
      <c r="P11" s="2">
        <v>-18</v>
      </c>
      <c r="Q11" s="2">
        <v>-4</v>
      </c>
      <c r="R11" s="2">
        <v>119</v>
      </c>
      <c r="S11" s="7">
        <v>-9</v>
      </c>
      <c r="T11" s="7"/>
      <c r="U11" s="8">
        <f t="shared" si="0"/>
        <v>6</v>
      </c>
    </row>
    <row r="12" spans="1:21" ht="20.100000000000001" customHeight="1" thickBot="1" x14ac:dyDescent="0.3">
      <c r="A12" s="11">
        <v>1</v>
      </c>
      <c r="B12" s="18" t="s">
        <v>2</v>
      </c>
      <c r="C12" s="19" t="s">
        <v>26</v>
      </c>
      <c r="D12" s="18" t="s">
        <v>18</v>
      </c>
      <c r="E12" s="18" t="s">
        <v>17</v>
      </c>
      <c r="F12" s="244" t="s">
        <v>25</v>
      </c>
      <c r="G12" s="259" t="s">
        <v>30</v>
      </c>
      <c r="H12" s="9">
        <v>8</v>
      </c>
      <c r="I12" s="9"/>
      <c r="J12" s="20" t="s">
        <v>4</v>
      </c>
      <c r="K12" s="2">
        <v>-4</v>
      </c>
      <c r="L12" s="2">
        <v>23</v>
      </c>
      <c r="M12" s="2">
        <v>-4</v>
      </c>
      <c r="N12" s="2">
        <v>32</v>
      </c>
      <c r="O12" s="2">
        <v>-30</v>
      </c>
      <c r="P12" s="2">
        <v>-48</v>
      </c>
      <c r="Q12" s="2">
        <v>-36</v>
      </c>
      <c r="R12" s="2">
        <v>18</v>
      </c>
      <c r="S12" s="7">
        <f>-(S6+S9+S13)</f>
        <v>36</v>
      </c>
      <c r="T12" s="7"/>
      <c r="U12" s="8">
        <f t="shared" si="0"/>
        <v>-13</v>
      </c>
    </row>
    <row r="13" spans="1:21" ht="20.100000000000001" customHeight="1" thickBot="1" x14ac:dyDescent="0.3">
      <c r="A13" s="12">
        <v>2</v>
      </c>
      <c r="B13" s="13" t="s">
        <v>5</v>
      </c>
      <c r="C13" s="14" t="s">
        <v>21</v>
      </c>
      <c r="D13" s="14" t="s">
        <v>43</v>
      </c>
      <c r="E13" s="14" t="s">
        <v>7</v>
      </c>
      <c r="F13" s="244"/>
      <c r="G13" s="259"/>
      <c r="H13" s="9">
        <v>9</v>
      </c>
      <c r="I13" s="9"/>
      <c r="J13" s="20" t="s">
        <v>9</v>
      </c>
      <c r="K13" s="2">
        <v>-58</v>
      </c>
      <c r="L13" s="2">
        <v>-2</v>
      </c>
      <c r="M13" s="2">
        <v>-1</v>
      </c>
      <c r="N13" s="2">
        <v>-11</v>
      </c>
      <c r="O13" s="2">
        <v>56</v>
      </c>
      <c r="P13" s="2">
        <v>-27</v>
      </c>
      <c r="Q13" s="2">
        <v>-4</v>
      </c>
      <c r="R13" s="2">
        <v>-31</v>
      </c>
      <c r="S13" s="7">
        <v>41</v>
      </c>
      <c r="T13" s="7"/>
      <c r="U13" s="8">
        <f t="shared" si="0"/>
        <v>-37</v>
      </c>
    </row>
    <row r="14" spans="1:21" ht="20.100000000000001" customHeight="1" thickBot="1" x14ac:dyDescent="0.3">
      <c r="A14" s="12">
        <v>3</v>
      </c>
      <c r="B14" s="13" t="s">
        <v>20</v>
      </c>
      <c r="C14" s="14" t="s">
        <v>3</v>
      </c>
      <c r="D14" s="14" t="s">
        <v>9</v>
      </c>
      <c r="E14" s="14" t="s">
        <v>19</v>
      </c>
      <c r="F14" s="244"/>
      <c r="G14" s="259"/>
      <c r="H14" s="9">
        <v>10</v>
      </c>
      <c r="I14" s="9"/>
      <c r="J14" s="20" t="s">
        <v>25</v>
      </c>
      <c r="K14" s="2">
        <v>0</v>
      </c>
      <c r="L14" s="2">
        <v>0</v>
      </c>
      <c r="M14" s="2">
        <v>0</v>
      </c>
      <c r="N14" s="2">
        <v>-13</v>
      </c>
      <c r="O14" s="2">
        <v>-14</v>
      </c>
      <c r="P14" s="2">
        <v>-21</v>
      </c>
      <c r="Q14" s="2">
        <v>70</v>
      </c>
      <c r="R14" s="2">
        <v>-73</v>
      </c>
      <c r="S14" s="7">
        <v>-4</v>
      </c>
      <c r="T14" s="7"/>
      <c r="U14" s="8">
        <f t="shared" si="0"/>
        <v>-55</v>
      </c>
    </row>
    <row r="15" spans="1:21" ht="20.100000000000001" customHeight="1" thickBot="1" x14ac:dyDescent="0.3">
      <c r="A15" s="12">
        <v>4</v>
      </c>
      <c r="B15" s="13" t="s">
        <v>44</v>
      </c>
      <c r="C15" s="14" t="s">
        <v>22</v>
      </c>
      <c r="D15" s="14" t="s">
        <v>12</v>
      </c>
      <c r="E15" s="14" t="s">
        <v>8</v>
      </c>
      <c r="F15" s="244"/>
      <c r="G15" s="259"/>
      <c r="H15" s="9">
        <v>11</v>
      </c>
      <c r="I15" s="9"/>
      <c r="J15" s="20" t="s">
        <v>19</v>
      </c>
      <c r="K15" s="2">
        <v>-21</v>
      </c>
      <c r="L15" s="2">
        <v>-24</v>
      </c>
      <c r="M15" s="2">
        <v>-11</v>
      </c>
      <c r="N15" s="2">
        <v>-6</v>
      </c>
      <c r="O15" s="2">
        <v>41</v>
      </c>
      <c r="P15" s="2">
        <f>27+16+36</f>
        <v>79</v>
      </c>
      <c r="Q15" s="2">
        <v>-40</v>
      </c>
      <c r="R15" s="2">
        <v>-4</v>
      </c>
      <c r="S15" s="7">
        <v>-80</v>
      </c>
      <c r="T15" s="7"/>
      <c r="U15" s="8">
        <f t="shared" si="0"/>
        <v>-66</v>
      </c>
    </row>
    <row r="16" spans="1:21" ht="20.100000000000001" customHeight="1" thickBot="1" x14ac:dyDescent="0.3">
      <c r="A16" s="5">
        <v>1</v>
      </c>
      <c r="B16" s="15" t="s">
        <v>12</v>
      </c>
      <c r="C16" s="16" t="s">
        <v>9</v>
      </c>
      <c r="D16" s="17" t="s">
        <v>3</v>
      </c>
      <c r="E16" s="17" t="s">
        <v>18</v>
      </c>
      <c r="F16" s="231" t="s">
        <v>22</v>
      </c>
      <c r="G16" s="258" t="s">
        <v>31</v>
      </c>
      <c r="H16" s="9">
        <v>12</v>
      </c>
      <c r="I16" s="9"/>
      <c r="J16" s="20" t="s">
        <v>7</v>
      </c>
      <c r="K16" s="2">
        <v>21</v>
      </c>
      <c r="L16" s="2">
        <v>-16</v>
      </c>
      <c r="M16" s="2">
        <v>-17</v>
      </c>
      <c r="N16" s="2">
        <v>-2</v>
      </c>
      <c r="O16" s="2">
        <v>-25</v>
      </c>
      <c r="P16" s="2">
        <v>-28</v>
      </c>
      <c r="Q16" s="2">
        <v>-3</v>
      </c>
      <c r="R16" s="2">
        <v>-35</v>
      </c>
      <c r="S16" s="7">
        <v>13</v>
      </c>
      <c r="T16" s="7"/>
      <c r="U16" s="8">
        <f t="shared" si="0"/>
        <v>-92</v>
      </c>
    </row>
    <row r="17" spans="1:21" ht="20.100000000000001" customHeight="1" thickBot="1" x14ac:dyDescent="0.3">
      <c r="A17" s="6">
        <v>2</v>
      </c>
      <c r="B17" s="15" t="s">
        <v>5</v>
      </c>
      <c r="C17" s="17" t="s">
        <v>25</v>
      </c>
      <c r="D17" s="17" t="s">
        <v>7</v>
      </c>
      <c r="E17" s="17" t="s">
        <v>2</v>
      </c>
      <c r="F17" s="231"/>
      <c r="G17" s="258"/>
      <c r="H17" s="9">
        <v>13</v>
      </c>
      <c r="I17" s="9"/>
      <c r="J17" s="20" t="s">
        <v>12</v>
      </c>
      <c r="K17" s="2">
        <v>-6</v>
      </c>
      <c r="L17" s="2">
        <v>-47</v>
      </c>
      <c r="M17" s="2">
        <v>56</v>
      </c>
      <c r="N17" s="2">
        <v>-14</v>
      </c>
      <c r="O17" s="2">
        <v>12</v>
      </c>
      <c r="P17" s="2">
        <v>-18</v>
      </c>
      <c r="Q17" s="2">
        <v>-13</v>
      </c>
      <c r="R17" s="2">
        <v>-11</v>
      </c>
      <c r="S17" s="7">
        <v>-59</v>
      </c>
      <c r="T17" s="7"/>
      <c r="U17" s="8">
        <f t="shared" si="0"/>
        <v>-100</v>
      </c>
    </row>
    <row r="18" spans="1:21" ht="20.100000000000001" customHeight="1" thickBot="1" x14ac:dyDescent="0.3">
      <c r="A18" s="6">
        <v>3</v>
      </c>
      <c r="B18" s="15" t="s">
        <v>8</v>
      </c>
      <c r="C18" s="17" t="s">
        <v>17</v>
      </c>
      <c r="D18" s="17" t="s">
        <v>20</v>
      </c>
      <c r="E18" s="17" t="s">
        <v>21</v>
      </c>
      <c r="F18" s="231"/>
      <c r="G18" s="258"/>
      <c r="H18" s="9">
        <v>14</v>
      </c>
      <c r="I18" s="9"/>
      <c r="J18" s="20" t="s">
        <v>44</v>
      </c>
      <c r="K18" s="2">
        <v>-34</v>
      </c>
      <c r="L18" s="2">
        <v>-31</v>
      </c>
      <c r="M18" s="2">
        <v>-36</v>
      </c>
      <c r="N18" s="2">
        <v>-11</v>
      </c>
      <c r="O18" s="2">
        <v>0</v>
      </c>
      <c r="P18" s="2">
        <v>0</v>
      </c>
      <c r="Q18" s="2">
        <v>0</v>
      </c>
      <c r="R18" s="2"/>
      <c r="S18" s="7"/>
      <c r="T18" s="7"/>
      <c r="U18" s="8">
        <f t="shared" si="0"/>
        <v>-112</v>
      </c>
    </row>
    <row r="19" spans="1:21" ht="20.100000000000001" customHeight="1" thickBot="1" x14ac:dyDescent="0.3">
      <c r="A19" s="6">
        <v>4</v>
      </c>
      <c r="B19" s="15" t="s">
        <v>4</v>
      </c>
      <c r="C19" s="17" t="s">
        <v>19</v>
      </c>
      <c r="D19" s="17" t="s">
        <v>44</v>
      </c>
      <c r="E19" s="17" t="s">
        <v>43</v>
      </c>
      <c r="F19" s="231"/>
      <c r="G19" s="258"/>
      <c r="H19" s="9">
        <v>15</v>
      </c>
      <c r="I19" s="9"/>
      <c r="J19" s="20" t="s">
        <v>2</v>
      </c>
      <c r="K19" s="2">
        <v>-44</v>
      </c>
      <c r="L19" s="2">
        <v>-28</v>
      </c>
      <c r="M19" s="2">
        <v>63</v>
      </c>
      <c r="N19" s="2">
        <v>-6</v>
      </c>
      <c r="O19" s="2">
        <v>-24</v>
      </c>
      <c r="P19" s="2">
        <v>-16</v>
      </c>
      <c r="Q19" s="2">
        <v>58</v>
      </c>
      <c r="R19" s="2">
        <v>-26</v>
      </c>
      <c r="S19" s="7">
        <v>-95</v>
      </c>
      <c r="T19" s="7"/>
      <c r="U19" s="8">
        <f t="shared" si="0"/>
        <v>-118</v>
      </c>
    </row>
    <row r="20" spans="1:21" ht="20.100000000000001" customHeight="1" thickBot="1" x14ac:dyDescent="0.3">
      <c r="A20" s="11">
        <v>1</v>
      </c>
      <c r="B20" s="18" t="s">
        <v>22</v>
      </c>
      <c r="C20" s="19" t="s">
        <v>18</v>
      </c>
      <c r="D20" s="18" t="s">
        <v>47</v>
      </c>
      <c r="E20" s="18" t="s">
        <v>12</v>
      </c>
      <c r="F20" s="260" t="s">
        <v>46</v>
      </c>
      <c r="G20" s="259" t="s">
        <v>32</v>
      </c>
      <c r="H20" s="9">
        <v>16</v>
      </c>
      <c r="I20" s="9"/>
      <c r="J20" s="29" t="s">
        <v>22</v>
      </c>
      <c r="K20" s="2">
        <v>-6</v>
      </c>
      <c r="L20" s="2">
        <v>-6</v>
      </c>
      <c r="M20" s="2">
        <v>-5</v>
      </c>
      <c r="N20" s="2">
        <v>0</v>
      </c>
      <c r="O20" s="2">
        <v>-11</v>
      </c>
      <c r="P20" s="2">
        <v>-36</v>
      </c>
      <c r="Q20" s="2">
        <v>-27</v>
      </c>
      <c r="R20" s="2">
        <v>-29</v>
      </c>
      <c r="S20" s="7">
        <v>-23</v>
      </c>
      <c r="T20" s="7"/>
      <c r="U20" s="8">
        <f t="shared" si="0"/>
        <v>-143</v>
      </c>
    </row>
    <row r="21" spans="1:21" ht="20.100000000000001" customHeight="1" thickBot="1" x14ac:dyDescent="0.3">
      <c r="A21" s="12">
        <v>2</v>
      </c>
      <c r="B21" s="13" t="s">
        <v>25</v>
      </c>
      <c r="C21" s="14" t="s">
        <v>17</v>
      </c>
      <c r="D21" s="14" t="s">
        <v>5</v>
      </c>
      <c r="E21" s="14" t="s">
        <v>7</v>
      </c>
      <c r="F21" s="260"/>
      <c r="G21" s="259"/>
      <c r="H21" s="9">
        <v>17</v>
      </c>
      <c r="I21" s="9"/>
      <c r="J21" s="28" t="s">
        <v>43</v>
      </c>
      <c r="K21" s="22">
        <v>19</v>
      </c>
      <c r="L21" s="22">
        <v>-17</v>
      </c>
      <c r="M21" s="22">
        <v>-43</v>
      </c>
      <c r="N21" s="22">
        <v>-15</v>
      </c>
      <c r="O21" s="22">
        <v>0</v>
      </c>
      <c r="P21" s="22">
        <v>-55</v>
      </c>
      <c r="Q21" s="22">
        <v>-2</v>
      </c>
      <c r="R21" s="22">
        <v>-12</v>
      </c>
      <c r="S21" s="23">
        <v>-30</v>
      </c>
      <c r="T21" s="23"/>
      <c r="U21" s="8">
        <f t="shared" si="0"/>
        <v>-155</v>
      </c>
    </row>
    <row r="22" spans="1:21" ht="20.100000000000001" customHeight="1" thickBot="1" x14ac:dyDescent="0.3">
      <c r="A22" s="12">
        <v>3</v>
      </c>
      <c r="B22" s="13" t="s">
        <v>9</v>
      </c>
      <c r="C22" s="14" t="s">
        <v>26</v>
      </c>
      <c r="D22" s="14" t="s">
        <v>20</v>
      </c>
      <c r="E22" s="14" t="s">
        <v>2</v>
      </c>
      <c r="F22" s="260"/>
      <c r="G22" s="259"/>
      <c r="H22" s="9"/>
      <c r="I22" s="9"/>
    </row>
    <row r="23" spans="1:21" ht="20.100000000000001" customHeight="1" thickBot="1" x14ac:dyDescent="0.3">
      <c r="A23" s="12">
        <v>4</v>
      </c>
      <c r="B23" s="13" t="s">
        <v>8</v>
      </c>
      <c r="C23" s="14" t="s">
        <v>3</v>
      </c>
      <c r="D23" s="14" t="s">
        <v>19</v>
      </c>
      <c r="E23" s="14" t="s">
        <v>21</v>
      </c>
      <c r="F23" s="260"/>
      <c r="G23" s="259"/>
      <c r="H23" s="9"/>
      <c r="I23" s="9"/>
      <c r="J23" s="246" t="s">
        <v>40</v>
      </c>
      <c r="K23" s="247"/>
      <c r="L23" s="247"/>
      <c r="M23" s="247"/>
      <c r="N23" s="247"/>
      <c r="O23" s="247"/>
      <c r="P23" s="247"/>
      <c r="Q23" s="247"/>
      <c r="R23" s="248"/>
    </row>
    <row r="24" spans="1:21" ht="20.100000000000001" customHeight="1" x14ac:dyDescent="0.25">
      <c r="A24" s="5">
        <v>1</v>
      </c>
      <c r="B24" s="15" t="s">
        <v>2</v>
      </c>
      <c r="C24" s="17" t="s">
        <v>19</v>
      </c>
      <c r="D24" s="17" t="s">
        <v>22</v>
      </c>
      <c r="E24" s="17" t="s">
        <v>9</v>
      </c>
      <c r="F24" s="261" t="s">
        <v>46</v>
      </c>
      <c r="G24" s="258" t="s">
        <v>33</v>
      </c>
      <c r="H24" s="9"/>
      <c r="I24" s="9"/>
      <c r="J24" s="249"/>
      <c r="K24" s="250"/>
      <c r="L24" s="250"/>
      <c r="M24" s="250"/>
      <c r="N24" s="250"/>
      <c r="O24" s="250"/>
      <c r="P24" s="250"/>
      <c r="Q24" s="250"/>
      <c r="R24" s="251"/>
      <c r="S24" s="9"/>
      <c r="U24" s="9"/>
    </row>
    <row r="25" spans="1:21" ht="20.100000000000001" customHeight="1" thickBot="1" x14ac:dyDescent="0.3">
      <c r="A25" s="6">
        <v>2</v>
      </c>
      <c r="B25" s="15" t="s">
        <v>21</v>
      </c>
      <c r="C25" s="17" t="s">
        <v>8</v>
      </c>
      <c r="D25" s="17" t="s">
        <v>4</v>
      </c>
      <c r="E25" s="17" t="s">
        <v>5</v>
      </c>
      <c r="F25" s="261"/>
      <c r="G25" s="258"/>
      <c r="H25" s="9"/>
      <c r="I25" s="9"/>
      <c r="J25" s="32"/>
      <c r="K25" s="33"/>
      <c r="L25" s="33"/>
      <c r="M25" s="33"/>
      <c r="N25" s="33"/>
      <c r="O25" s="33"/>
      <c r="P25" s="33"/>
      <c r="Q25" s="33"/>
      <c r="R25" s="34"/>
    </row>
    <row r="26" spans="1:21" ht="20.100000000000001" customHeight="1" x14ac:dyDescent="0.25">
      <c r="A26" s="6">
        <v>3</v>
      </c>
      <c r="B26" s="15" t="s">
        <v>20</v>
      </c>
      <c r="C26" s="17" t="s">
        <v>12</v>
      </c>
      <c r="D26" s="17" t="s">
        <v>25</v>
      </c>
      <c r="E26" s="17" t="s">
        <v>18</v>
      </c>
      <c r="F26" s="261"/>
      <c r="G26" s="258"/>
      <c r="H26" s="9"/>
      <c r="I26" s="9"/>
      <c r="J26" s="32"/>
      <c r="K26" s="33"/>
      <c r="L26" s="33"/>
      <c r="M26" s="238" t="str">
        <f>$J$5</f>
        <v>Sune</v>
      </c>
      <c r="N26" s="239"/>
      <c r="O26" s="240"/>
      <c r="P26" s="33"/>
      <c r="Q26" s="33"/>
      <c r="R26" s="34"/>
    </row>
    <row r="27" spans="1:21" ht="20.100000000000001" customHeight="1" thickBot="1" x14ac:dyDescent="0.3">
      <c r="A27" s="6">
        <v>4</v>
      </c>
      <c r="B27" s="15" t="s">
        <v>17</v>
      </c>
      <c r="C27" s="17" t="s">
        <v>47</v>
      </c>
      <c r="D27" s="17" t="s">
        <v>7</v>
      </c>
      <c r="E27" s="17" t="s">
        <v>3</v>
      </c>
      <c r="F27" s="261"/>
      <c r="G27" s="258"/>
      <c r="H27" s="9"/>
      <c r="I27" s="9"/>
      <c r="J27" s="32"/>
      <c r="K27" s="33"/>
      <c r="L27" s="33"/>
      <c r="M27" s="241"/>
      <c r="N27" s="242"/>
      <c r="O27" s="243"/>
      <c r="P27" s="33"/>
      <c r="Q27" s="33"/>
      <c r="R27" s="34"/>
    </row>
    <row r="28" spans="1:21" ht="20.100000000000001" customHeight="1" x14ac:dyDescent="0.25">
      <c r="A28" s="11">
        <v>1</v>
      </c>
      <c r="B28" s="18" t="s">
        <v>8</v>
      </c>
      <c r="C28" s="19" t="s">
        <v>20</v>
      </c>
      <c r="D28" s="18" t="s">
        <v>12</v>
      </c>
      <c r="E28" s="18" t="s">
        <v>3</v>
      </c>
      <c r="F28" s="260" t="s">
        <v>46</v>
      </c>
      <c r="G28" s="259" t="s">
        <v>34</v>
      </c>
      <c r="H28" s="9"/>
      <c r="I28" s="9"/>
      <c r="J28" s="232" t="str">
        <f>$J$6</f>
        <v>Simone</v>
      </c>
      <c r="K28" s="233"/>
      <c r="L28" s="234"/>
      <c r="M28" s="33"/>
      <c r="N28" s="33"/>
      <c r="O28" s="33"/>
      <c r="P28" s="252" t="str">
        <f>$J$7</f>
        <v>Skipper</v>
      </c>
      <c r="Q28" s="253"/>
      <c r="R28" s="254"/>
    </row>
    <row r="29" spans="1:21" ht="20.100000000000001" customHeight="1" thickBot="1" x14ac:dyDescent="0.3">
      <c r="A29" s="12">
        <v>2</v>
      </c>
      <c r="B29" s="13" t="s">
        <v>5</v>
      </c>
      <c r="C29" s="14" t="s">
        <v>18</v>
      </c>
      <c r="D29" s="14" t="s">
        <v>4</v>
      </c>
      <c r="E29" s="14" t="s">
        <v>6</v>
      </c>
      <c r="F29" s="260"/>
      <c r="G29" s="259"/>
      <c r="H29" s="9"/>
      <c r="I29" s="9"/>
      <c r="J29" s="235"/>
      <c r="K29" s="236"/>
      <c r="L29" s="237"/>
      <c r="M29" s="35"/>
      <c r="N29" s="35"/>
      <c r="O29" s="35"/>
      <c r="P29" s="255"/>
      <c r="Q29" s="256"/>
      <c r="R29" s="257"/>
    </row>
    <row r="30" spans="1:21" ht="20.100000000000001" customHeight="1" x14ac:dyDescent="0.25">
      <c r="A30" s="12">
        <v>3</v>
      </c>
      <c r="B30" s="13" t="s">
        <v>2</v>
      </c>
      <c r="C30" s="14" t="s">
        <v>17</v>
      </c>
      <c r="D30" s="14" t="s">
        <v>21</v>
      </c>
      <c r="E30" s="14" t="s">
        <v>9</v>
      </c>
      <c r="F30" s="260"/>
      <c r="G30" s="259"/>
      <c r="H30" s="9"/>
      <c r="I30" s="9"/>
    </row>
    <row r="31" spans="1:21" ht="20.100000000000001" customHeight="1" thickBot="1" x14ac:dyDescent="0.3">
      <c r="A31" s="12">
        <v>4</v>
      </c>
      <c r="B31" s="13" t="s">
        <v>7</v>
      </c>
      <c r="C31" s="14" t="s">
        <v>22</v>
      </c>
      <c r="D31" s="14" t="s">
        <v>25</v>
      </c>
      <c r="E31" s="14" t="s">
        <v>19</v>
      </c>
      <c r="F31" s="260"/>
      <c r="G31" s="259"/>
      <c r="H31" s="9"/>
      <c r="I31" s="9"/>
    </row>
    <row r="32" spans="1:21" ht="20.100000000000001" customHeight="1" x14ac:dyDescent="0.25">
      <c r="A32" s="5">
        <v>1</v>
      </c>
      <c r="B32" s="17" t="s">
        <v>25</v>
      </c>
      <c r="C32" s="17" t="s">
        <v>20</v>
      </c>
      <c r="D32" s="17" t="s">
        <v>7</v>
      </c>
      <c r="E32" s="17" t="s">
        <v>17</v>
      </c>
      <c r="F32" s="231" t="s">
        <v>44</v>
      </c>
      <c r="G32" s="258" t="s">
        <v>35</v>
      </c>
      <c r="H32" s="9"/>
      <c r="I32" s="9"/>
    </row>
    <row r="33" spans="1:9" ht="20.100000000000001" customHeight="1" x14ac:dyDescent="0.25">
      <c r="A33" s="6">
        <v>2</v>
      </c>
      <c r="B33" s="15" t="s">
        <v>19</v>
      </c>
      <c r="C33" s="17" t="s">
        <v>12</v>
      </c>
      <c r="D33" s="17" t="s">
        <v>4</v>
      </c>
      <c r="E33" s="30" t="s">
        <v>21</v>
      </c>
      <c r="F33" s="231"/>
      <c r="G33" s="258"/>
      <c r="H33" s="9"/>
      <c r="I33" s="9"/>
    </row>
    <row r="34" spans="1:9" ht="20.100000000000001" customHeight="1" x14ac:dyDescent="0.25">
      <c r="A34" s="6">
        <v>3</v>
      </c>
      <c r="B34" s="15" t="s">
        <v>5</v>
      </c>
      <c r="C34" s="17" t="s">
        <v>3</v>
      </c>
      <c r="D34" s="17" t="s">
        <v>22</v>
      </c>
      <c r="E34" s="17" t="s">
        <v>9</v>
      </c>
      <c r="F34" s="231"/>
      <c r="G34" s="258"/>
      <c r="H34" s="9"/>
      <c r="I34" s="9"/>
    </row>
    <row r="35" spans="1:9" ht="20.100000000000001" customHeight="1" thickBot="1" x14ac:dyDescent="0.3">
      <c r="A35" s="6">
        <v>4</v>
      </c>
      <c r="B35" s="15" t="s">
        <v>2</v>
      </c>
      <c r="C35" s="17" t="s">
        <v>48</v>
      </c>
      <c r="D35" s="17" t="s">
        <v>8</v>
      </c>
      <c r="E35" s="17" t="s">
        <v>18</v>
      </c>
      <c r="F35" s="231"/>
      <c r="G35" s="258"/>
      <c r="H35" s="9"/>
      <c r="I35" s="9"/>
    </row>
    <row r="36" spans="1:9" ht="20.100000000000001" customHeight="1" x14ac:dyDescent="0.25">
      <c r="A36" s="11">
        <v>1</v>
      </c>
      <c r="B36" s="14" t="s">
        <v>18</v>
      </c>
      <c r="C36" s="14" t="s">
        <v>19</v>
      </c>
      <c r="D36" s="14" t="s">
        <v>21</v>
      </c>
      <c r="E36" s="14" t="s">
        <v>2</v>
      </c>
      <c r="F36" s="244" t="s">
        <v>44</v>
      </c>
      <c r="G36" s="259" t="s">
        <v>36</v>
      </c>
      <c r="H36" s="9"/>
      <c r="I36" s="9"/>
    </row>
    <row r="37" spans="1:9" ht="20.100000000000001" customHeight="1" x14ac:dyDescent="0.25">
      <c r="A37" s="12">
        <v>2</v>
      </c>
      <c r="B37" s="13" t="s">
        <v>43</v>
      </c>
      <c r="C37" s="14" t="s">
        <v>12</v>
      </c>
      <c r="D37" s="14" t="s">
        <v>3</v>
      </c>
      <c r="E37" s="31" t="s">
        <v>5</v>
      </c>
      <c r="F37" s="244"/>
      <c r="G37" s="259"/>
    </row>
    <row r="38" spans="1:9" ht="20.100000000000001" customHeight="1" x14ac:dyDescent="0.25">
      <c r="A38" s="12">
        <v>3</v>
      </c>
      <c r="B38" s="13" t="s">
        <v>7</v>
      </c>
      <c r="C38" s="14" t="s">
        <v>9</v>
      </c>
      <c r="D38" s="14" t="s">
        <v>22</v>
      </c>
      <c r="E38" s="14" t="s">
        <v>8</v>
      </c>
      <c r="F38" s="244"/>
      <c r="G38" s="259"/>
    </row>
    <row r="39" spans="1:9" ht="20.100000000000001" customHeight="1" thickBot="1" x14ac:dyDescent="0.3">
      <c r="A39" s="12">
        <v>4</v>
      </c>
      <c r="B39" s="13" t="s">
        <v>17</v>
      </c>
      <c r="C39" s="14" t="s">
        <v>45</v>
      </c>
      <c r="D39" s="14" t="s">
        <v>4</v>
      </c>
      <c r="E39" s="14" t="s">
        <v>20</v>
      </c>
      <c r="F39" s="244"/>
      <c r="G39" s="259"/>
    </row>
    <row r="40" spans="1:9" ht="20.100000000000001" customHeight="1" x14ac:dyDescent="0.25">
      <c r="A40" s="5">
        <v>1</v>
      </c>
      <c r="B40" s="17" t="s">
        <v>4</v>
      </c>
      <c r="C40" s="17" t="s">
        <v>20</v>
      </c>
      <c r="D40" s="17" t="s">
        <v>17</v>
      </c>
      <c r="E40" s="17" t="s">
        <v>25</v>
      </c>
      <c r="F40" s="231" t="s">
        <v>9</v>
      </c>
      <c r="G40" s="258" t="s">
        <v>38</v>
      </c>
    </row>
    <row r="41" spans="1:9" ht="20.100000000000001" customHeight="1" x14ac:dyDescent="0.25">
      <c r="A41" s="6">
        <v>2</v>
      </c>
      <c r="B41" s="15" t="s">
        <v>3</v>
      </c>
      <c r="C41" s="17" t="s">
        <v>5</v>
      </c>
      <c r="D41" s="17" t="s">
        <v>7</v>
      </c>
      <c r="E41" s="30" t="s">
        <v>8</v>
      </c>
      <c r="F41" s="231"/>
      <c r="G41" s="258"/>
    </row>
    <row r="42" spans="1:9" ht="20.100000000000001" customHeight="1" x14ac:dyDescent="0.25">
      <c r="A42" s="6">
        <v>3</v>
      </c>
      <c r="B42" s="15" t="s">
        <v>43</v>
      </c>
      <c r="C42" s="17" t="s">
        <v>19</v>
      </c>
      <c r="D42" s="17" t="s">
        <v>18</v>
      </c>
      <c r="E42" s="17" t="s">
        <v>21</v>
      </c>
      <c r="F42" s="231"/>
      <c r="G42" s="258"/>
    </row>
    <row r="43" spans="1:9" ht="20.100000000000001" customHeight="1" x14ac:dyDescent="0.25">
      <c r="A43" s="6">
        <v>4</v>
      </c>
      <c r="B43" s="15" t="s">
        <v>22</v>
      </c>
      <c r="C43" s="17" t="s">
        <v>44</v>
      </c>
      <c r="D43" s="17" t="s">
        <v>2</v>
      </c>
      <c r="E43" s="17" t="s">
        <v>12</v>
      </c>
      <c r="F43" s="231"/>
      <c r="G43" s="258"/>
    </row>
    <row r="44" spans="1:9" ht="19.5" customHeight="1" x14ac:dyDescent="0.25"/>
    <row r="45" spans="1:9" ht="20.100000000000001" customHeight="1" x14ac:dyDescent="0.25">
      <c r="A45" t="s">
        <v>13</v>
      </c>
    </row>
    <row r="46" spans="1:9" ht="20.100000000000001" customHeight="1" x14ac:dyDescent="0.25">
      <c r="A46" t="s">
        <v>42</v>
      </c>
    </row>
    <row r="47" spans="1:9" ht="20.100000000000001" customHeight="1" x14ac:dyDescent="0.25">
      <c r="A47" t="s">
        <v>15</v>
      </c>
    </row>
    <row r="48" spans="1:9" ht="20.100000000000001" customHeight="1" x14ac:dyDescent="0.25">
      <c r="A48" t="s">
        <v>16</v>
      </c>
    </row>
  </sheetData>
  <sortState xmlns:xlrd2="http://schemas.microsoft.com/office/spreadsheetml/2017/richdata2" ref="J5:U21">
    <sortCondition descending="1" ref="U5"/>
  </sortState>
  <mergeCells count="25">
    <mergeCell ref="K3:T3"/>
    <mergeCell ref="F20:F23"/>
    <mergeCell ref="F24:F27"/>
    <mergeCell ref="F28:F31"/>
    <mergeCell ref="J23:R24"/>
    <mergeCell ref="F4:F7"/>
    <mergeCell ref="F8:F11"/>
    <mergeCell ref="F12:F15"/>
    <mergeCell ref="F16:F19"/>
    <mergeCell ref="P28:R29"/>
    <mergeCell ref="G20:G23"/>
    <mergeCell ref="G4:G7"/>
    <mergeCell ref="G8:G11"/>
    <mergeCell ref="G12:G15"/>
    <mergeCell ref="G16:G19"/>
    <mergeCell ref="F40:F43"/>
    <mergeCell ref="G40:G43"/>
    <mergeCell ref="J28:L29"/>
    <mergeCell ref="M26:O27"/>
    <mergeCell ref="F32:F35"/>
    <mergeCell ref="F36:F39"/>
    <mergeCell ref="G24:G27"/>
    <mergeCell ref="G28:G31"/>
    <mergeCell ref="G32:G35"/>
    <mergeCell ref="G36:G39"/>
  </mergeCells>
  <phoneticPr fontId="0" type="noConversion"/>
  <conditionalFormatting sqref="K5:U21">
    <cfRule type="cellIs" dxfId="17" priority="1" stopIfTrue="1" operator="greaterThan">
      <formula>0</formula>
    </cfRule>
    <cfRule type="cellIs" dxfId="16" priority="2" stopIfTrue="1" operator="lessThan">
      <formula>0</formula>
    </cfRule>
    <cfRule type="cellIs" dxfId="15" priority="3" stopIfTrue="1" operator="equal">
      <formula>0</formula>
    </cfRule>
  </conditionalFormatting>
  <pageMargins left="0.36" right="0.43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dater">
                <anchor moveWithCells="1">
                  <from>
                    <xdr:col>11</xdr:col>
                    <xdr:colOff>487680</xdr:colOff>
                    <xdr:row>30</xdr:row>
                    <xdr:rowOff>106680</xdr:rowOff>
                  </from>
                  <to>
                    <xdr:col>14</xdr:col>
                    <xdr:colOff>137160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13"/>
  <dimension ref="A1:U48"/>
  <sheetViews>
    <sheetView zoomScale="70" zoomScaleNormal="70" workbookViewId="0">
      <selection activeCell="I24" sqref="I24"/>
    </sheetView>
  </sheetViews>
  <sheetFormatPr defaultRowHeight="20.100000000000001" customHeight="1" x14ac:dyDescent="0.25"/>
  <cols>
    <col min="2" max="4" width="13.77734375" customWidth="1"/>
    <col min="5" max="5" width="13.21875" customWidth="1"/>
    <col min="7" max="7" width="9.21875" customWidth="1"/>
    <col min="8" max="8" width="4.77734375" customWidth="1"/>
    <col min="10" max="10" width="11.21875" bestFit="1" customWidth="1"/>
    <col min="19" max="19" width="9.77734375" bestFit="1" customWidth="1"/>
  </cols>
  <sheetData>
    <row r="1" spans="1:21" ht="20.100000000000001" customHeight="1" x14ac:dyDescent="0.3">
      <c r="A1" s="1">
        <v>9</v>
      </c>
      <c r="D1" s="36"/>
    </row>
    <row r="3" spans="1:21" ht="20.100000000000001" customHeight="1" thickBot="1" x14ac:dyDescent="0.3">
      <c r="A3" s="4" t="s">
        <v>27</v>
      </c>
      <c r="B3" s="4" t="s">
        <v>0</v>
      </c>
      <c r="C3" s="4" t="s">
        <v>0</v>
      </c>
      <c r="D3" s="4" t="s">
        <v>0</v>
      </c>
      <c r="E3" s="4" t="s">
        <v>0</v>
      </c>
      <c r="F3" s="9" t="s">
        <v>37</v>
      </c>
      <c r="K3" s="245" t="s">
        <v>1</v>
      </c>
      <c r="L3" s="245"/>
      <c r="M3" s="245"/>
      <c r="N3" s="245"/>
      <c r="O3" s="245"/>
      <c r="P3" s="245"/>
      <c r="Q3" s="245"/>
      <c r="R3" s="245"/>
      <c r="S3" s="245"/>
      <c r="T3" s="245"/>
    </row>
    <row r="4" spans="1:21" ht="20.100000000000001" customHeight="1" thickBot="1" x14ac:dyDescent="0.3">
      <c r="A4" s="11">
        <v>1</v>
      </c>
      <c r="B4" s="18" t="s">
        <v>17</v>
      </c>
      <c r="C4" s="19" t="s">
        <v>9</v>
      </c>
      <c r="D4" s="18" t="s">
        <v>8</v>
      </c>
      <c r="E4" s="18" t="s">
        <v>2</v>
      </c>
      <c r="F4" s="244"/>
      <c r="G4" s="259" t="s">
        <v>28</v>
      </c>
      <c r="H4" s="9"/>
      <c r="I4" s="9"/>
      <c r="J4" s="21" t="s">
        <v>10</v>
      </c>
      <c r="K4" s="26" t="s">
        <v>28</v>
      </c>
      <c r="L4" s="26" t="s">
        <v>29</v>
      </c>
      <c r="M4" s="26" t="s">
        <v>30</v>
      </c>
      <c r="N4" s="26" t="s">
        <v>31</v>
      </c>
      <c r="O4" s="26" t="s">
        <v>32</v>
      </c>
      <c r="P4" s="26" t="s">
        <v>33</v>
      </c>
      <c r="Q4" s="26" t="s">
        <v>34</v>
      </c>
      <c r="R4" s="26" t="s">
        <v>35</v>
      </c>
      <c r="S4" s="26" t="s">
        <v>36</v>
      </c>
      <c r="T4" s="26" t="s">
        <v>38</v>
      </c>
      <c r="U4" s="27" t="s">
        <v>11</v>
      </c>
    </row>
    <row r="5" spans="1:21" ht="20.100000000000001" customHeight="1" thickBot="1" x14ac:dyDescent="0.3">
      <c r="A5" s="12">
        <v>2</v>
      </c>
      <c r="B5" s="13" t="s">
        <v>12</v>
      </c>
      <c r="C5" s="14" t="s">
        <v>43</v>
      </c>
      <c r="D5" s="14" t="s">
        <v>22</v>
      </c>
      <c r="E5" s="14" t="s">
        <v>21</v>
      </c>
      <c r="F5" s="244"/>
      <c r="G5" s="259"/>
      <c r="H5" s="9">
        <v>1</v>
      </c>
      <c r="I5" s="9"/>
      <c r="J5" s="24" t="s">
        <v>17</v>
      </c>
      <c r="K5" s="3">
        <v>-12</v>
      </c>
      <c r="L5" s="3">
        <f>43+32+18</f>
        <v>93</v>
      </c>
      <c r="M5" s="3">
        <f>69+53+26</f>
        <v>148</v>
      </c>
      <c r="N5" s="3">
        <v>-66</v>
      </c>
      <c r="O5" s="3">
        <f>81+45+56</f>
        <v>182</v>
      </c>
      <c r="P5" s="3">
        <v>-21</v>
      </c>
      <c r="Q5" s="3"/>
      <c r="R5" s="3"/>
      <c r="S5" s="10"/>
      <c r="T5" s="10"/>
      <c r="U5" s="25">
        <f t="shared" ref="U5:U21" si="0">SUM(K5:T5)</f>
        <v>324</v>
      </c>
    </row>
    <row r="6" spans="1:21" ht="20.100000000000001" customHeight="1" thickBot="1" x14ac:dyDescent="0.3">
      <c r="A6" s="12">
        <v>3</v>
      </c>
      <c r="B6" s="13" t="s">
        <v>44</v>
      </c>
      <c r="C6" s="14" t="s">
        <v>5</v>
      </c>
      <c r="D6" s="14" t="s">
        <v>20</v>
      </c>
      <c r="E6" s="14" t="s">
        <v>19</v>
      </c>
      <c r="F6" s="244"/>
      <c r="G6" s="259"/>
      <c r="H6" s="9">
        <v>2</v>
      </c>
      <c r="I6" s="9"/>
      <c r="J6" s="20" t="s">
        <v>20</v>
      </c>
      <c r="K6" s="2">
        <v>-15</v>
      </c>
      <c r="L6" s="2">
        <v>-18</v>
      </c>
      <c r="M6" s="2">
        <f>45+17+15</f>
        <v>77</v>
      </c>
      <c r="N6" s="2">
        <v>-28</v>
      </c>
      <c r="O6" s="2">
        <f>22+2+25</f>
        <v>49</v>
      </c>
      <c r="P6" s="2">
        <f>45+17+24</f>
        <v>86</v>
      </c>
      <c r="Q6" s="2"/>
      <c r="R6" s="2"/>
      <c r="S6" s="7"/>
      <c r="T6" s="7"/>
      <c r="U6" s="8">
        <f t="shared" si="0"/>
        <v>151</v>
      </c>
    </row>
    <row r="7" spans="1:21" ht="20.100000000000001" customHeight="1" thickBot="1" x14ac:dyDescent="0.3">
      <c r="A7" s="12">
        <v>4</v>
      </c>
      <c r="B7" s="13" t="s">
        <v>18</v>
      </c>
      <c r="C7" s="14" t="s">
        <v>7</v>
      </c>
      <c r="D7" s="14" t="s">
        <v>49</v>
      </c>
      <c r="E7" s="14" t="s">
        <v>3</v>
      </c>
      <c r="F7" s="244"/>
      <c r="G7" s="259"/>
      <c r="H7" s="9">
        <v>3</v>
      </c>
      <c r="I7" s="9"/>
      <c r="J7" s="20" t="s">
        <v>5</v>
      </c>
      <c r="K7" s="2">
        <f>24+6+15</f>
        <v>45</v>
      </c>
      <c r="L7" s="2">
        <v>96</v>
      </c>
      <c r="M7" s="2">
        <v>-3</v>
      </c>
      <c r="N7" s="2">
        <v>-14</v>
      </c>
      <c r="O7" s="2">
        <v>-45</v>
      </c>
      <c r="P7" s="2">
        <f>38+12+17</f>
        <v>67</v>
      </c>
      <c r="Q7" s="2"/>
      <c r="R7" s="2"/>
      <c r="S7" s="7"/>
      <c r="T7" s="7"/>
      <c r="U7" s="8">
        <f t="shared" si="0"/>
        <v>146</v>
      </c>
    </row>
    <row r="8" spans="1:21" ht="20.100000000000001" customHeight="1" thickBot="1" x14ac:dyDescent="0.3">
      <c r="A8" s="5">
        <v>4</v>
      </c>
      <c r="B8" s="15" t="s">
        <v>3</v>
      </c>
      <c r="C8" s="16" t="s">
        <v>19</v>
      </c>
      <c r="D8" s="17" t="s">
        <v>21</v>
      </c>
      <c r="E8" s="17" t="s">
        <v>7</v>
      </c>
      <c r="F8" s="231"/>
      <c r="G8" s="258" t="s">
        <v>29</v>
      </c>
      <c r="H8" s="9">
        <v>4</v>
      </c>
      <c r="I8" s="9"/>
      <c r="J8" s="20" t="s">
        <v>7</v>
      </c>
      <c r="K8" s="2">
        <f>12+13+18</f>
        <v>43</v>
      </c>
      <c r="L8" s="2">
        <v>-14</v>
      </c>
      <c r="M8" s="2">
        <v>0</v>
      </c>
      <c r="N8" s="2">
        <f>26+14+167</f>
        <v>207</v>
      </c>
      <c r="O8" s="2">
        <v>-56</v>
      </c>
      <c r="P8" s="2">
        <v>-42</v>
      </c>
      <c r="Q8" s="2"/>
      <c r="R8" s="2"/>
      <c r="S8" s="7"/>
      <c r="T8" s="7"/>
      <c r="U8" s="8">
        <f t="shared" si="0"/>
        <v>138</v>
      </c>
    </row>
    <row r="9" spans="1:21" ht="20.100000000000001" customHeight="1" thickBot="1" x14ac:dyDescent="0.3">
      <c r="A9" s="6">
        <v>2</v>
      </c>
      <c r="B9" s="15" t="s">
        <v>2</v>
      </c>
      <c r="C9" s="16" t="s">
        <v>18</v>
      </c>
      <c r="D9" s="17" t="s">
        <v>44</v>
      </c>
      <c r="E9" s="17" t="s">
        <v>12</v>
      </c>
      <c r="F9" s="231"/>
      <c r="G9" s="258"/>
      <c r="H9" s="9">
        <v>5</v>
      </c>
      <c r="I9" s="9"/>
      <c r="J9" s="20" t="s">
        <v>21</v>
      </c>
      <c r="K9" s="2">
        <f>17+2+13</f>
        <v>32</v>
      </c>
      <c r="L9" s="2">
        <f>14+13+25</f>
        <v>52</v>
      </c>
      <c r="M9" s="2">
        <v>-13</v>
      </c>
      <c r="N9" s="2">
        <f>9+66+28</f>
        <v>103</v>
      </c>
      <c r="O9" s="2">
        <v>-51</v>
      </c>
      <c r="P9" s="2">
        <v>-12</v>
      </c>
      <c r="Q9" s="2"/>
      <c r="R9" s="2"/>
      <c r="S9" s="7"/>
      <c r="T9" s="7"/>
      <c r="U9" s="8">
        <f t="shared" si="0"/>
        <v>111</v>
      </c>
    </row>
    <row r="10" spans="1:21" ht="20.100000000000001" customHeight="1" thickBot="1" x14ac:dyDescent="0.3">
      <c r="A10" s="6">
        <v>3</v>
      </c>
      <c r="B10" s="15" t="s">
        <v>17</v>
      </c>
      <c r="C10" s="17" t="s">
        <v>20</v>
      </c>
      <c r="D10" s="17" t="s">
        <v>22</v>
      </c>
      <c r="E10" s="17" t="s">
        <v>8</v>
      </c>
      <c r="F10" s="231"/>
      <c r="G10" s="258"/>
      <c r="H10" s="9">
        <v>6</v>
      </c>
      <c r="I10" s="9"/>
      <c r="J10" s="20" t="s">
        <v>18</v>
      </c>
      <c r="K10" s="2">
        <v>-12</v>
      </c>
      <c r="L10" s="2">
        <v>31</v>
      </c>
      <c r="M10" s="2">
        <v>-26</v>
      </c>
      <c r="N10" s="2">
        <f>10+24+20</f>
        <v>54</v>
      </c>
      <c r="O10" s="2">
        <f>35+16+21</f>
        <v>72</v>
      </c>
      <c r="P10" s="2">
        <v>-17</v>
      </c>
      <c r="Q10" s="2"/>
      <c r="R10" s="2"/>
      <c r="S10" s="7"/>
      <c r="T10" s="7"/>
      <c r="U10" s="8">
        <f t="shared" si="0"/>
        <v>102</v>
      </c>
    </row>
    <row r="11" spans="1:21" ht="20.100000000000001" customHeight="1" thickBot="1" x14ac:dyDescent="0.3">
      <c r="A11" s="6">
        <v>1</v>
      </c>
      <c r="B11" s="15" t="s">
        <v>50</v>
      </c>
      <c r="C11" s="17" t="s">
        <v>5</v>
      </c>
      <c r="D11" s="17" t="s">
        <v>43</v>
      </c>
      <c r="E11" s="17" t="s">
        <v>9</v>
      </c>
      <c r="F11" s="231"/>
      <c r="G11" s="258"/>
      <c r="H11" s="9">
        <v>7</v>
      </c>
      <c r="I11" s="9"/>
      <c r="J11" s="20" t="s">
        <v>19</v>
      </c>
      <c r="K11" s="2">
        <v>-24</v>
      </c>
      <c r="L11" s="2">
        <v>-25</v>
      </c>
      <c r="M11" s="2">
        <v>-15</v>
      </c>
      <c r="N11" s="2">
        <f>2+14+9</f>
        <v>25</v>
      </c>
      <c r="O11" s="2">
        <v>-32</v>
      </c>
      <c r="P11" s="2">
        <v>86</v>
      </c>
      <c r="Q11" s="2"/>
      <c r="R11" s="2"/>
      <c r="S11" s="7"/>
      <c r="T11" s="7"/>
      <c r="U11" s="8">
        <f t="shared" si="0"/>
        <v>15</v>
      </c>
    </row>
    <row r="12" spans="1:21" ht="20.100000000000001" customHeight="1" thickBot="1" x14ac:dyDescent="0.3">
      <c r="A12" s="11">
        <v>1</v>
      </c>
      <c r="B12" s="18" t="s">
        <v>2</v>
      </c>
      <c r="C12" s="19" t="s">
        <v>6</v>
      </c>
      <c r="D12" s="18" t="s">
        <v>18</v>
      </c>
      <c r="E12" s="18" t="s">
        <v>17</v>
      </c>
      <c r="F12" s="244"/>
      <c r="G12" s="259" t="s">
        <v>30</v>
      </c>
      <c r="H12" s="9">
        <v>8</v>
      </c>
      <c r="I12" s="9"/>
      <c r="J12" s="20" t="s">
        <v>4</v>
      </c>
      <c r="K12" s="2"/>
      <c r="L12" s="2"/>
      <c r="M12" s="2"/>
      <c r="N12" s="2"/>
      <c r="O12" s="2"/>
      <c r="P12" s="2"/>
      <c r="Q12" s="2"/>
      <c r="R12" s="2"/>
      <c r="S12" s="7"/>
      <c r="T12" s="7"/>
      <c r="U12" s="8">
        <f t="shared" si="0"/>
        <v>0</v>
      </c>
    </row>
    <row r="13" spans="1:21" ht="20.100000000000001" customHeight="1" thickBot="1" x14ac:dyDescent="0.3">
      <c r="A13" s="12">
        <v>4</v>
      </c>
      <c r="B13" s="13" t="s">
        <v>5</v>
      </c>
      <c r="C13" s="14" t="s">
        <v>21</v>
      </c>
      <c r="D13" s="14" t="s">
        <v>43</v>
      </c>
      <c r="E13" s="14" t="s">
        <v>7</v>
      </c>
      <c r="F13" s="244"/>
      <c r="G13" s="259"/>
      <c r="H13" s="9">
        <v>9</v>
      </c>
      <c r="I13" s="9"/>
      <c r="J13" s="20" t="s">
        <v>8</v>
      </c>
      <c r="K13" s="2">
        <v>-9</v>
      </c>
      <c r="L13" s="2">
        <v>-32</v>
      </c>
      <c r="M13" s="2">
        <v>-57</v>
      </c>
      <c r="N13" s="2">
        <v>-9</v>
      </c>
      <c r="O13" s="2">
        <f>39+32+51</f>
        <v>122</v>
      </c>
      <c r="P13" s="2">
        <v>-38</v>
      </c>
      <c r="Q13" s="2"/>
      <c r="R13" s="2"/>
      <c r="S13" s="7"/>
      <c r="T13" s="7"/>
      <c r="U13" s="8">
        <f t="shared" si="0"/>
        <v>-23</v>
      </c>
    </row>
    <row r="14" spans="1:21" ht="20.100000000000001" customHeight="1" thickBot="1" x14ac:dyDescent="0.3">
      <c r="A14" s="12">
        <v>3</v>
      </c>
      <c r="B14" s="13" t="s">
        <v>20</v>
      </c>
      <c r="C14" s="14" t="s">
        <v>3</v>
      </c>
      <c r="D14" s="14" t="s">
        <v>9</v>
      </c>
      <c r="E14" s="14" t="s">
        <v>19</v>
      </c>
      <c r="F14" s="244"/>
      <c r="G14" s="259"/>
      <c r="H14" s="9">
        <v>10</v>
      </c>
      <c r="I14" s="9"/>
      <c r="J14" s="20" t="s">
        <v>3</v>
      </c>
      <c r="K14" s="2">
        <v>-13</v>
      </c>
      <c r="L14" s="2">
        <v>-13</v>
      </c>
      <c r="M14" s="2">
        <v>-45</v>
      </c>
      <c r="N14" s="2">
        <v>-10</v>
      </c>
      <c r="O14" s="2">
        <v>-38</v>
      </c>
      <c r="P14" s="2">
        <f>11+21+42</f>
        <v>74</v>
      </c>
      <c r="Q14" s="2"/>
      <c r="R14" s="2"/>
      <c r="S14" s="7"/>
      <c r="T14" s="7"/>
      <c r="U14" s="8">
        <f t="shared" si="0"/>
        <v>-45</v>
      </c>
    </row>
    <row r="15" spans="1:21" ht="20.100000000000001" customHeight="1" thickBot="1" x14ac:dyDescent="0.3">
      <c r="A15" s="12">
        <v>2</v>
      </c>
      <c r="B15" s="13" t="s">
        <v>44</v>
      </c>
      <c r="C15" s="14" t="s">
        <v>22</v>
      </c>
      <c r="D15" s="14" t="s">
        <v>12</v>
      </c>
      <c r="E15" s="14" t="s">
        <v>8</v>
      </c>
      <c r="F15" s="244"/>
      <c r="G15" s="259"/>
      <c r="H15" s="9">
        <v>11</v>
      </c>
      <c r="I15" s="9"/>
      <c r="J15" s="20" t="s">
        <v>2</v>
      </c>
      <c r="K15" s="2">
        <f>41+12+9</f>
        <v>62</v>
      </c>
      <c r="L15" s="2">
        <v>-4</v>
      </c>
      <c r="M15" s="2">
        <v>-53</v>
      </c>
      <c r="N15" s="2">
        <v>-26</v>
      </c>
      <c r="O15" s="2">
        <v>-2</v>
      </c>
      <c r="P15" s="2">
        <v>-60</v>
      </c>
      <c r="Q15" s="2"/>
      <c r="R15" s="2"/>
      <c r="S15" s="7"/>
      <c r="T15" s="7"/>
      <c r="U15" s="8">
        <f t="shared" si="0"/>
        <v>-83</v>
      </c>
    </row>
    <row r="16" spans="1:21" ht="20.100000000000001" customHeight="1" thickBot="1" x14ac:dyDescent="0.3">
      <c r="A16" s="5">
        <v>1</v>
      </c>
      <c r="B16" s="15" t="s">
        <v>12</v>
      </c>
      <c r="C16" s="16" t="s">
        <v>9</v>
      </c>
      <c r="D16" s="17" t="s">
        <v>3</v>
      </c>
      <c r="E16" s="17" t="s">
        <v>18</v>
      </c>
      <c r="F16" s="231"/>
      <c r="G16" s="258" t="s">
        <v>31</v>
      </c>
      <c r="H16" s="9">
        <v>12</v>
      </c>
      <c r="I16" s="9"/>
      <c r="J16" s="20" t="s">
        <v>43</v>
      </c>
      <c r="K16" s="2">
        <v>-13</v>
      </c>
      <c r="L16" s="2">
        <v>-4</v>
      </c>
      <c r="M16" s="2">
        <v>16</v>
      </c>
      <c r="N16" s="2">
        <v>-2</v>
      </c>
      <c r="O16" s="2">
        <v>-81</v>
      </c>
      <c r="P16" s="2">
        <v>-24</v>
      </c>
      <c r="Q16" s="2"/>
      <c r="R16" s="2"/>
      <c r="S16" s="7"/>
      <c r="T16" s="7"/>
      <c r="U16" s="8">
        <f t="shared" si="0"/>
        <v>-108</v>
      </c>
    </row>
    <row r="17" spans="1:21" ht="20.100000000000001" customHeight="1" thickBot="1" x14ac:dyDescent="0.3">
      <c r="A17" s="6">
        <v>4</v>
      </c>
      <c r="B17" s="15" t="s">
        <v>5</v>
      </c>
      <c r="C17" s="17" t="s">
        <v>22</v>
      </c>
      <c r="D17" s="17" t="s">
        <v>7</v>
      </c>
      <c r="E17" s="17" t="s">
        <v>2</v>
      </c>
      <c r="F17" s="231"/>
      <c r="G17" s="258"/>
      <c r="H17" s="9">
        <v>13</v>
      </c>
      <c r="I17" s="9"/>
      <c r="J17" s="20" t="s">
        <v>44</v>
      </c>
      <c r="K17" s="2">
        <v>-6</v>
      </c>
      <c r="L17" s="2">
        <v>-20</v>
      </c>
      <c r="M17" s="2">
        <v>-46</v>
      </c>
      <c r="N17" s="2">
        <v>-14</v>
      </c>
      <c r="O17" s="2">
        <v>-16</v>
      </c>
      <c r="P17" s="2">
        <v>-11</v>
      </c>
      <c r="Q17" s="2"/>
      <c r="R17" s="2"/>
      <c r="S17" s="7"/>
      <c r="T17" s="7"/>
      <c r="U17" s="8">
        <f t="shared" si="0"/>
        <v>-113</v>
      </c>
    </row>
    <row r="18" spans="1:21" ht="20.100000000000001" customHeight="1" thickBot="1" x14ac:dyDescent="0.3">
      <c r="A18" s="6">
        <v>3</v>
      </c>
      <c r="B18" s="15" t="s">
        <v>8</v>
      </c>
      <c r="C18" s="17" t="s">
        <v>17</v>
      </c>
      <c r="D18" s="17" t="s">
        <v>20</v>
      </c>
      <c r="E18" s="17" t="s">
        <v>21</v>
      </c>
      <c r="F18" s="231"/>
      <c r="G18" s="258"/>
      <c r="H18" s="9">
        <v>14</v>
      </c>
      <c r="I18" s="9"/>
      <c r="J18" s="20" t="s">
        <v>12</v>
      </c>
      <c r="K18" s="2">
        <v>-17</v>
      </c>
      <c r="L18" s="2">
        <v>-7</v>
      </c>
      <c r="M18" s="2">
        <v>-26</v>
      </c>
      <c r="N18" s="2">
        <v>-20</v>
      </c>
      <c r="O18" s="2">
        <v>-35</v>
      </c>
      <c r="P18" s="2">
        <v>-17</v>
      </c>
      <c r="Q18" s="2"/>
      <c r="R18" s="2"/>
      <c r="S18" s="7"/>
      <c r="T18" s="7"/>
      <c r="U18" s="8">
        <f t="shared" si="0"/>
        <v>-122</v>
      </c>
    </row>
    <row r="19" spans="1:21" ht="20.100000000000001" customHeight="1" thickBot="1" x14ac:dyDescent="0.3">
      <c r="A19" s="6">
        <v>2</v>
      </c>
      <c r="B19" s="15" t="s">
        <v>50</v>
      </c>
      <c r="C19" s="17" t="s">
        <v>19</v>
      </c>
      <c r="D19" s="17" t="s">
        <v>44</v>
      </c>
      <c r="E19" s="17" t="s">
        <v>43</v>
      </c>
      <c r="F19" s="231"/>
      <c r="G19" s="258"/>
      <c r="H19" s="9">
        <v>15</v>
      </c>
      <c r="I19" s="9"/>
      <c r="J19" s="20" t="s">
        <v>22</v>
      </c>
      <c r="K19" s="2">
        <v>-2</v>
      </c>
      <c r="L19" s="2">
        <v>-43</v>
      </c>
      <c r="M19" s="2">
        <f>57+26+46</f>
        <v>129</v>
      </c>
      <c r="N19" s="2">
        <v>-167</v>
      </c>
      <c r="O19" s="2">
        <v>-21</v>
      </c>
      <c r="P19" s="2">
        <v>-25</v>
      </c>
      <c r="Q19" s="2"/>
      <c r="R19" s="2"/>
      <c r="S19" s="7"/>
      <c r="T19" s="7"/>
      <c r="U19" s="8">
        <f t="shared" si="0"/>
        <v>-129</v>
      </c>
    </row>
    <row r="20" spans="1:21" ht="20.100000000000001" customHeight="1" thickBot="1" x14ac:dyDescent="0.3">
      <c r="A20" s="11">
        <v>1</v>
      </c>
      <c r="B20" s="18" t="s">
        <v>22</v>
      </c>
      <c r="C20" s="19" t="s">
        <v>18</v>
      </c>
      <c r="D20" s="18" t="s">
        <v>44</v>
      </c>
      <c r="E20" s="18" t="s">
        <v>12</v>
      </c>
      <c r="F20" s="260"/>
      <c r="G20" s="259" t="s">
        <v>32</v>
      </c>
      <c r="H20" s="9">
        <v>16</v>
      </c>
      <c r="I20" s="9"/>
      <c r="J20" s="29" t="s">
        <v>9</v>
      </c>
      <c r="K20" s="2">
        <v>-41</v>
      </c>
      <c r="L20" s="2">
        <v>-55</v>
      </c>
      <c r="M20" s="2">
        <f>+-17</f>
        <v>-17</v>
      </c>
      <c r="N20" s="2">
        <v>-24</v>
      </c>
      <c r="O20" s="2">
        <v>-22</v>
      </c>
      <c r="P20" s="2">
        <v>-1</v>
      </c>
      <c r="Q20" s="2"/>
      <c r="R20" s="2"/>
      <c r="S20" s="7"/>
      <c r="T20" s="7"/>
      <c r="U20" s="8">
        <f t="shared" si="0"/>
        <v>-160</v>
      </c>
    </row>
    <row r="21" spans="1:21" ht="20.100000000000001" customHeight="1" thickBot="1" x14ac:dyDescent="0.3">
      <c r="A21" s="12">
        <v>2</v>
      </c>
      <c r="B21" s="13" t="s">
        <v>43</v>
      </c>
      <c r="C21" s="14" t="s">
        <v>17</v>
      </c>
      <c r="D21" s="14" t="s">
        <v>5</v>
      </c>
      <c r="E21" s="14" t="s">
        <v>7</v>
      </c>
      <c r="F21" s="260"/>
      <c r="G21" s="259"/>
      <c r="H21" s="9">
        <v>17</v>
      </c>
      <c r="I21" s="9"/>
      <c r="J21" s="28" t="s">
        <v>6</v>
      </c>
      <c r="K21" s="22">
        <v>-18</v>
      </c>
      <c r="L21" s="22">
        <v>-37</v>
      </c>
      <c r="M21" s="22">
        <v>-69</v>
      </c>
      <c r="N21" s="22">
        <v>-9</v>
      </c>
      <c r="O21" s="22">
        <v>-25</v>
      </c>
      <c r="P21" s="22">
        <v>-45</v>
      </c>
      <c r="Q21" s="22"/>
      <c r="R21" s="22"/>
      <c r="S21" s="23"/>
      <c r="T21" s="23"/>
      <c r="U21" s="8">
        <f t="shared" si="0"/>
        <v>-203</v>
      </c>
    </row>
    <row r="22" spans="1:21" ht="20.100000000000001" customHeight="1" thickBot="1" x14ac:dyDescent="0.3">
      <c r="A22" s="12">
        <v>3</v>
      </c>
      <c r="B22" s="13" t="s">
        <v>9</v>
      </c>
      <c r="C22" s="14" t="s">
        <v>6</v>
      </c>
      <c r="D22" s="14" t="s">
        <v>20</v>
      </c>
      <c r="E22" s="14" t="s">
        <v>2</v>
      </c>
      <c r="F22" s="260"/>
      <c r="G22" s="259"/>
      <c r="H22" s="9"/>
      <c r="I22" s="9"/>
    </row>
    <row r="23" spans="1:21" ht="20.100000000000001" customHeight="1" thickBot="1" x14ac:dyDescent="0.3">
      <c r="A23" s="12">
        <v>4</v>
      </c>
      <c r="B23" s="13" t="s">
        <v>8</v>
      </c>
      <c r="C23" s="14" t="s">
        <v>3</v>
      </c>
      <c r="D23" s="14" t="s">
        <v>19</v>
      </c>
      <c r="E23" s="14" t="s">
        <v>21</v>
      </c>
      <c r="F23" s="260"/>
      <c r="G23" s="259"/>
      <c r="H23" s="9"/>
      <c r="I23" s="9"/>
      <c r="J23" s="246" t="s">
        <v>59</v>
      </c>
      <c r="K23" s="247"/>
      <c r="L23" s="247"/>
      <c r="M23" s="247"/>
      <c r="N23" s="247"/>
      <c r="O23" s="247"/>
      <c r="P23" s="247"/>
      <c r="Q23" s="247"/>
      <c r="R23" s="248"/>
    </row>
    <row r="24" spans="1:21" ht="20.100000000000001" customHeight="1" x14ac:dyDescent="0.25">
      <c r="A24" s="5">
        <v>1</v>
      </c>
      <c r="B24" s="15" t="s">
        <v>2</v>
      </c>
      <c r="C24" s="17" t="s">
        <v>19</v>
      </c>
      <c r="D24" s="17" t="s">
        <v>22</v>
      </c>
      <c r="E24" s="17" t="s">
        <v>9</v>
      </c>
      <c r="F24" s="261"/>
      <c r="G24" s="258" t="s">
        <v>33</v>
      </c>
      <c r="H24" s="9"/>
      <c r="I24" s="9"/>
      <c r="J24" s="249"/>
      <c r="K24" s="250"/>
      <c r="L24" s="250"/>
      <c r="M24" s="250"/>
      <c r="N24" s="250"/>
      <c r="O24" s="250"/>
      <c r="P24" s="250"/>
      <c r="Q24" s="250"/>
      <c r="R24" s="251"/>
      <c r="S24" s="9"/>
      <c r="U24" s="9"/>
    </row>
    <row r="25" spans="1:21" ht="20.100000000000001" customHeight="1" thickBot="1" x14ac:dyDescent="0.3">
      <c r="A25" s="6">
        <v>2</v>
      </c>
      <c r="B25" s="15" t="s">
        <v>21</v>
      </c>
      <c r="C25" s="17" t="s">
        <v>8</v>
      </c>
      <c r="D25" s="17" t="s">
        <v>18</v>
      </c>
      <c r="E25" s="17" t="s">
        <v>5</v>
      </c>
      <c r="F25" s="261"/>
      <c r="G25" s="258"/>
      <c r="H25" s="9"/>
      <c r="I25" s="9"/>
      <c r="J25" s="32"/>
      <c r="K25" s="33"/>
      <c r="L25" s="33"/>
      <c r="M25" s="33"/>
      <c r="N25" s="33"/>
      <c r="O25" s="33"/>
      <c r="P25" s="33"/>
      <c r="Q25" s="33"/>
      <c r="R25" s="34"/>
    </row>
    <row r="26" spans="1:21" ht="20.100000000000001" customHeight="1" x14ac:dyDescent="0.25">
      <c r="A26" s="6">
        <v>3</v>
      </c>
      <c r="B26" s="15" t="s">
        <v>20</v>
      </c>
      <c r="C26" s="17" t="s">
        <v>12</v>
      </c>
      <c r="D26" s="17" t="s">
        <v>49</v>
      </c>
      <c r="E26" s="17" t="s">
        <v>43</v>
      </c>
      <c r="F26" s="261"/>
      <c r="G26" s="258"/>
      <c r="H26" s="9"/>
      <c r="I26" s="9"/>
      <c r="J26" s="32"/>
      <c r="K26" s="33"/>
      <c r="L26" s="33"/>
      <c r="M26" s="238" t="str">
        <f>$J$5</f>
        <v>Christoffer</v>
      </c>
      <c r="N26" s="239"/>
      <c r="O26" s="240"/>
      <c r="P26" s="33"/>
      <c r="Q26" s="33"/>
      <c r="R26" s="34"/>
    </row>
    <row r="27" spans="1:21" ht="20.100000000000001" customHeight="1" thickBot="1" x14ac:dyDescent="0.3">
      <c r="A27" s="6">
        <v>4</v>
      </c>
      <c r="B27" s="15" t="s">
        <v>17</v>
      </c>
      <c r="C27" s="17" t="s">
        <v>44</v>
      </c>
      <c r="D27" s="17" t="s">
        <v>7</v>
      </c>
      <c r="E27" s="17" t="s">
        <v>3</v>
      </c>
      <c r="F27" s="261"/>
      <c r="G27" s="258"/>
      <c r="H27" s="9"/>
      <c r="I27" s="9"/>
      <c r="J27" s="32"/>
      <c r="K27" s="33"/>
      <c r="L27" s="33"/>
      <c r="M27" s="241"/>
      <c r="N27" s="242"/>
      <c r="O27" s="243"/>
      <c r="P27" s="33"/>
      <c r="Q27" s="33"/>
      <c r="R27" s="34"/>
    </row>
    <row r="28" spans="1:21" ht="20.100000000000001" customHeight="1" x14ac:dyDescent="0.25">
      <c r="A28" s="11">
        <v>1</v>
      </c>
      <c r="B28" s="18" t="s">
        <v>8</v>
      </c>
      <c r="C28" s="19" t="s">
        <v>20</v>
      </c>
      <c r="D28" s="18" t="s">
        <v>12</v>
      </c>
      <c r="E28" s="18" t="s">
        <v>3</v>
      </c>
      <c r="F28" s="260"/>
      <c r="G28" s="259" t="s">
        <v>34</v>
      </c>
      <c r="H28" s="9"/>
      <c r="I28" s="9"/>
      <c r="J28" s="232" t="str">
        <f>$J$6</f>
        <v>Natasja</v>
      </c>
      <c r="K28" s="233"/>
      <c r="L28" s="234"/>
      <c r="M28" s="33"/>
      <c r="N28" s="33"/>
      <c r="O28" s="33"/>
      <c r="P28" s="252" t="str">
        <f>$J$7</f>
        <v>Gitte</v>
      </c>
      <c r="Q28" s="253"/>
      <c r="R28" s="254"/>
    </row>
    <row r="29" spans="1:21" ht="20.100000000000001" customHeight="1" thickBot="1" x14ac:dyDescent="0.3">
      <c r="A29" s="12">
        <v>2</v>
      </c>
      <c r="B29" s="13" t="s">
        <v>5</v>
      </c>
      <c r="C29" s="14" t="s">
        <v>18</v>
      </c>
      <c r="D29" s="14" t="s">
        <v>43</v>
      </c>
      <c r="E29" s="14" t="s">
        <v>6</v>
      </c>
      <c r="F29" s="260"/>
      <c r="G29" s="259"/>
      <c r="H29" s="9"/>
      <c r="I29" s="9"/>
      <c r="J29" s="235"/>
      <c r="K29" s="236"/>
      <c r="L29" s="237"/>
      <c r="M29" s="35"/>
      <c r="N29" s="35"/>
      <c r="O29" s="35"/>
      <c r="P29" s="255"/>
      <c r="Q29" s="256"/>
      <c r="R29" s="257"/>
    </row>
    <row r="30" spans="1:21" ht="20.100000000000001" customHeight="1" x14ac:dyDescent="0.25">
      <c r="A30" s="12">
        <v>3</v>
      </c>
      <c r="B30" s="13" t="s">
        <v>2</v>
      </c>
      <c r="C30" s="14" t="s">
        <v>17</v>
      </c>
      <c r="D30" s="14" t="s">
        <v>21</v>
      </c>
      <c r="E30" s="14" t="s">
        <v>9</v>
      </c>
      <c r="F30" s="260"/>
      <c r="G30" s="259"/>
      <c r="H30" s="9"/>
      <c r="I30" s="9"/>
    </row>
    <row r="31" spans="1:21" ht="20.100000000000001" customHeight="1" thickBot="1" x14ac:dyDescent="0.3">
      <c r="A31" s="12">
        <v>4</v>
      </c>
      <c r="B31" s="13" t="s">
        <v>7</v>
      </c>
      <c r="C31" s="14" t="s">
        <v>22</v>
      </c>
      <c r="D31" s="14" t="s">
        <v>44</v>
      </c>
      <c r="E31" s="14" t="s">
        <v>19</v>
      </c>
      <c r="F31" s="260"/>
      <c r="G31" s="259"/>
      <c r="H31" s="9"/>
      <c r="I31" s="9"/>
    </row>
    <row r="32" spans="1:21" ht="20.100000000000001" customHeight="1" x14ac:dyDescent="0.25">
      <c r="A32" s="5">
        <v>1</v>
      </c>
      <c r="B32" s="17" t="s">
        <v>44</v>
      </c>
      <c r="C32" s="17" t="s">
        <v>20</v>
      </c>
      <c r="D32" s="17" t="s">
        <v>7</v>
      </c>
      <c r="E32" s="17" t="s">
        <v>17</v>
      </c>
      <c r="F32" s="231"/>
      <c r="G32" s="258" t="s">
        <v>35</v>
      </c>
      <c r="H32" s="9"/>
      <c r="I32" s="9"/>
    </row>
    <row r="33" spans="1:9" ht="20.100000000000001" customHeight="1" x14ac:dyDescent="0.25">
      <c r="A33" s="6">
        <v>2</v>
      </c>
      <c r="B33" s="15" t="s">
        <v>19</v>
      </c>
      <c r="C33" s="17" t="s">
        <v>12</v>
      </c>
      <c r="D33" s="17" t="s">
        <v>49</v>
      </c>
      <c r="E33" s="30" t="s">
        <v>21</v>
      </c>
      <c r="F33" s="231"/>
      <c r="G33" s="258"/>
      <c r="H33" s="9"/>
      <c r="I33" s="9"/>
    </row>
    <row r="34" spans="1:9" ht="20.100000000000001" customHeight="1" x14ac:dyDescent="0.25">
      <c r="A34" s="6">
        <v>3</v>
      </c>
      <c r="B34" s="15" t="s">
        <v>5</v>
      </c>
      <c r="C34" s="17" t="s">
        <v>3</v>
      </c>
      <c r="D34" s="17" t="s">
        <v>22</v>
      </c>
      <c r="E34" s="17" t="s">
        <v>9</v>
      </c>
      <c r="F34" s="231"/>
      <c r="G34" s="258"/>
      <c r="H34" s="9"/>
      <c r="I34" s="9"/>
    </row>
    <row r="35" spans="1:9" ht="20.100000000000001" customHeight="1" thickBot="1" x14ac:dyDescent="0.3">
      <c r="A35" s="6">
        <v>4</v>
      </c>
      <c r="B35" s="15" t="s">
        <v>2</v>
      </c>
      <c r="C35" s="17" t="s">
        <v>48</v>
      </c>
      <c r="D35" s="17" t="s">
        <v>8</v>
      </c>
      <c r="E35" s="17" t="s">
        <v>18</v>
      </c>
      <c r="F35" s="231"/>
      <c r="G35" s="258"/>
      <c r="H35" s="9"/>
      <c r="I35" s="9"/>
    </row>
    <row r="36" spans="1:9" ht="20.100000000000001" customHeight="1" x14ac:dyDescent="0.25">
      <c r="A36" s="11">
        <v>1</v>
      </c>
      <c r="B36" s="14" t="s">
        <v>18</v>
      </c>
      <c r="C36" s="14" t="s">
        <v>19</v>
      </c>
      <c r="D36" s="14" t="s">
        <v>21</v>
      </c>
      <c r="E36" s="14" t="s">
        <v>2</v>
      </c>
      <c r="F36" s="244"/>
      <c r="G36" s="259" t="s">
        <v>36</v>
      </c>
      <c r="H36" s="9"/>
      <c r="I36" s="9"/>
    </row>
    <row r="37" spans="1:9" ht="20.100000000000001" customHeight="1" x14ac:dyDescent="0.25">
      <c r="A37" s="12">
        <v>2</v>
      </c>
      <c r="B37" s="13" t="s">
        <v>43</v>
      </c>
      <c r="C37" s="14" t="s">
        <v>12</v>
      </c>
      <c r="D37" s="14" t="s">
        <v>3</v>
      </c>
      <c r="E37" s="31" t="s">
        <v>5</v>
      </c>
      <c r="F37" s="244"/>
      <c r="G37" s="259"/>
    </row>
    <row r="38" spans="1:9" ht="20.100000000000001" customHeight="1" x14ac:dyDescent="0.25">
      <c r="A38" s="12">
        <v>3</v>
      </c>
      <c r="B38" s="13" t="s">
        <v>7</v>
      </c>
      <c r="C38" s="14" t="s">
        <v>9</v>
      </c>
      <c r="D38" s="14" t="s">
        <v>22</v>
      </c>
      <c r="E38" s="14" t="s">
        <v>8</v>
      </c>
      <c r="F38" s="244"/>
      <c r="G38" s="259"/>
    </row>
    <row r="39" spans="1:9" ht="20.100000000000001" customHeight="1" thickBot="1" x14ac:dyDescent="0.3">
      <c r="A39" s="12">
        <v>4</v>
      </c>
      <c r="B39" s="13" t="s">
        <v>17</v>
      </c>
      <c r="C39" s="14" t="s">
        <v>44</v>
      </c>
      <c r="D39" s="14" t="s">
        <v>49</v>
      </c>
      <c r="E39" s="14" t="s">
        <v>20</v>
      </c>
      <c r="F39" s="244"/>
      <c r="G39" s="259"/>
    </row>
    <row r="40" spans="1:9" ht="20.100000000000001" customHeight="1" x14ac:dyDescent="0.25">
      <c r="A40" s="5">
        <v>1</v>
      </c>
      <c r="B40" s="17" t="s">
        <v>9</v>
      </c>
      <c r="C40" s="17" t="s">
        <v>20</v>
      </c>
      <c r="D40" s="17" t="s">
        <v>17</v>
      </c>
      <c r="E40" s="17" t="s">
        <v>6</v>
      </c>
      <c r="F40" s="231"/>
      <c r="G40" s="258" t="s">
        <v>38</v>
      </c>
    </row>
    <row r="41" spans="1:9" ht="20.100000000000001" customHeight="1" x14ac:dyDescent="0.25">
      <c r="A41" s="6">
        <v>2</v>
      </c>
      <c r="B41" s="15" t="s">
        <v>3</v>
      </c>
      <c r="C41" s="17" t="s">
        <v>5</v>
      </c>
      <c r="D41" s="17" t="s">
        <v>7</v>
      </c>
      <c r="E41" s="30" t="s">
        <v>8</v>
      </c>
      <c r="F41" s="231"/>
      <c r="G41" s="258"/>
    </row>
    <row r="42" spans="1:9" ht="20.100000000000001" customHeight="1" x14ac:dyDescent="0.25">
      <c r="A42" s="6">
        <v>3</v>
      </c>
      <c r="B42" s="15" t="s">
        <v>43</v>
      </c>
      <c r="C42" s="17" t="s">
        <v>19</v>
      </c>
      <c r="D42" s="17" t="s">
        <v>18</v>
      </c>
      <c r="E42" s="17" t="s">
        <v>21</v>
      </c>
      <c r="F42" s="231"/>
      <c r="G42" s="258"/>
    </row>
    <row r="43" spans="1:9" ht="20.100000000000001" customHeight="1" x14ac:dyDescent="0.25">
      <c r="A43" s="6">
        <v>4</v>
      </c>
      <c r="B43" s="15" t="s">
        <v>22</v>
      </c>
      <c r="C43" s="17" t="s">
        <v>44</v>
      </c>
      <c r="D43" s="17" t="s">
        <v>2</v>
      </c>
      <c r="E43" s="17" t="s">
        <v>12</v>
      </c>
      <c r="F43" s="231"/>
      <c r="G43" s="258"/>
    </row>
    <row r="44" spans="1:9" ht="19.5" customHeight="1" x14ac:dyDescent="0.25"/>
    <row r="45" spans="1:9" ht="20.100000000000001" customHeight="1" x14ac:dyDescent="0.25">
      <c r="A45" t="s">
        <v>13</v>
      </c>
    </row>
    <row r="46" spans="1:9" ht="20.100000000000001" customHeight="1" x14ac:dyDescent="0.25">
      <c r="A46" t="s">
        <v>42</v>
      </c>
    </row>
    <row r="47" spans="1:9" ht="20.100000000000001" customHeight="1" x14ac:dyDescent="0.25">
      <c r="A47" s="37" t="s">
        <v>15</v>
      </c>
    </row>
    <row r="48" spans="1:9" ht="20.100000000000001" customHeight="1" x14ac:dyDescent="0.25">
      <c r="A48" s="37" t="s">
        <v>16</v>
      </c>
    </row>
  </sheetData>
  <sortState xmlns:xlrd2="http://schemas.microsoft.com/office/spreadsheetml/2017/richdata2" ref="J5:U21">
    <sortCondition descending="1" ref="U5"/>
  </sortState>
  <mergeCells count="25">
    <mergeCell ref="F36:F39"/>
    <mergeCell ref="G36:G39"/>
    <mergeCell ref="F40:F43"/>
    <mergeCell ref="G40:G43"/>
    <mergeCell ref="F28:F31"/>
    <mergeCell ref="G28:G31"/>
    <mergeCell ref="J28:L29"/>
    <mergeCell ref="P28:R29"/>
    <mergeCell ref="F32:F35"/>
    <mergeCell ref="G32:G35"/>
    <mergeCell ref="F16:F19"/>
    <mergeCell ref="G16:G19"/>
    <mergeCell ref="F20:F23"/>
    <mergeCell ref="G20:G23"/>
    <mergeCell ref="J23:R24"/>
    <mergeCell ref="F24:F27"/>
    <mergeCell ref="G24:G27"/>
    <mergeCell ref="M26:O27"/>
    <mergeCell ref="F12:F15"/>
    <mergeCell ref="G12:G15"/>
    <mergeCell ref="K3:T3"/>
    <mergeCell ref="F4:F7"/>
    <mergeCell ref="G4:G7"/>
    <mergeCell ref="F8:F11"/>
    <mergeCell ref="G8:G11"/>
  </mergeCells>
  <conditionalFormatting sqref="K5:U21">
    <cfRule type="cellIs" dxfId="14" priority="1" stopIfTrue="1" operator="greaterThan">
      <formula>0</formula>
    </cfRule>
    <cfRule type="cellIs" dxfId="13" priority="2" stopIfTrue="1" operator="lessThan">
      <formula>0</formula>
    </cfRule>
    <cfRule type="cellIs" dxfId="12" priority="3" stopIfTrue="1" operator="equal">
      <formula>0</formula>
    </cfRule>
  </conditionalFormatting>
  <pageMargins left="0.36" right="0.43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dater">
                <anchor moveWithCells="1">
                  <from>
                    <xdr:col>18</xdr:col>
                    <xdr:colOff>297180</xdr:colOff>
                    <xdr:row>24</xdr:row>
                    <xdr:rowOff>76200</xdr:rowOff>
                  </from>
                  <to>
                    <xdr:col>20</xdr:col>
                    <xdr:colOff>510540</xdr:colOff>
                    <xdr:row>25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2"/>
  <dimension ref="A1:U48"/>
  <sheetViews>
    <sheetView zoomScale="60" zoomScaleNormal="60" workbookViewId="0">
      <selection activeCell="J2" sqref="J2"/>
    </sheetView>
  </sheetViews>
  <sheetFormatPr defaultRowHeight="20.100000000000001" customHeight="1" x14ac:dyDescent="0.25"/>
  <cols>
    <col min="2" max="4" width="13.77734375" customWidth="1"/>
    <col min="5" max="5" width="13.21875" customWidth="1"/>
    <col min="7" max="7" width="9.21875" customWidth="1"/>
    <col min="8" max="8" width="4.77734375" customWidth="1"/>
    <col min="10" max="10" width="11.21875" bestFit="1" customWidth="1"/>
    <col min="19" max="19" width="9.77734375" bestFit="1" customWidth="1"/>
  </cols>
  <sheetData>
    <row r="1" spans="1:21" ht="20.100000000000001" customHeight="1" x14ac:dyDescent="0.3">
      <c r="A1" s="1" t="s">
        <v>71</v>
      </c>
      <c r="D1" s="36"/>
    </row>
    <row r="3" spans="1:21" ht="20.100000000000001" customHeight="1" thickBot="1" x14ac:dyDescent="0.3">
      <c r="A3" s="4" t="s">
        <v>27</v>
      </c>
      <c r="B3" s="4" t="s">
        <v>0</v>
      </c>
      <c r="C3" s="4" t="s">
        <v>0</v>
      </c>
      <c r="D3" s="4" t="s">
        <v>0</v>
      </c>
      <c r="E3" s="4" t="s">
        <v>0</v>
      </c>
      <c r="F3" s="9" t="s">
        <v>37</v>
      </c>
      <c r="K3" s="245" t="s">
        <v>1</v>
      </c>
      <c r="L3" s="245"/>
      <c r="M3" s="245"/>
      <c r="N3" s="245"/>
      <c r="O3" s="245"/>
      <c r="P3" s="245"/>
      <c r="Q3" s="245"/>
      <c r="R3" s="245"/>
      <c r="S3" s="245"/>
      <c r="T3" s="245"/>
    </row>
    <row r="4" spans="1:21" ht="20.100000000000001" customHeight="1" thickBot="1" x14ac:dyDescent="0.3">
      <c r="A4" s="42">
        <v>1</v>
      </c>
      <c r="B4" s="43" t="s">
        <v>3</v>
      </c>
      <c r="C4" s="44" t="s">
        <v>19</v>
      </c>
      <c r="D4" s="45" t="s">
        <v>21</v>
      </c>
      <c r="E4" s="45" t="s">
        <v>7</v>
      </c>
      <c r="F4" s="262" t="s">
        <v>18</v>
      </c>
      <c r="G4" s="264" t="s">
        <v>28</v>
      </c>
      <c r="H4" s="9"/>
      <c r="I4" s="9"/>
      <c r="J4" s="21" t="s">
        <v>10</v>
      </c>
      <c r="K4" s="26" t="s">
        <v>28</v>
      </c>
      <c r="L4" s="26" t="s">
        <v>29</v>
      </c>
      <c r="M4" s="26" t="s">
        <v>30</v>
      </c>
      <c r="N4" s="26" t="s">
        <v>31</v>
      </c>
      <c r="O4" s="26" t="s">
        <v>32</v>
      </c>
      <c r="P4" s="26" t="s">
        <v>33</v>
      </c>
      <c r="Q4" s="26" t="s">
        <v>34</v>
      </c>
      <c r="R4" s="26" t="s">
        <v>35</v>
      </c>
      <c r="S4" s="26" t="s">
        <v>36</v>
      </c>
      <c r="T4" s="26" t="s">
        <v>38</v>
      </c>
      <c r="U4" s="27" t="s">
        <v>11</v>
      </c>
    </row>
    <row r="5" spans="1:21" ht="20.100000000000001" customHeight="1" thickBot="1" x14ac:dyDescent="0.3">
      <c r="A5" s="46">
        <v>2</v>
      </c>
      <c r="B5" s="43" t="s">
        <v>2</v>
      </c>
      <c r="C5" s="44" t="s">
        <v>4</v>
      </c>
      <c r="D5" s="45" t="s">
        <v>44</v>
      </c>
      <c r="E5" s="45" t="s">
        <v>12</v>
      </c>
      <c r="F5" s="263"/>
      <c r="G5" s="264"/>
      <c r="H5" s="9">
        <v>1</v>
      </c>
      <c r="I5" s="9"/>
      <c r="J5" s="24" t="s">
        <v>21</v>
      </c>
      <c r="K5" s="3">
        <v>-25</v>
      </c>
      <c r="L5" s="3">
        <v>-23</v>
      </c>
      <c r="M5" s="3">
        <v>-8</v>
      </c>
      <c r="N5" s="3">
        <f>154+84+83</f>
        <v>321</v>
      </c>
      <c r="O5" s="3">
        <f>107+52+11</f>
        <v>170</v>
      </c>
      <c r="P5" s="3"/>
      <c r="Q5" s="3"/>
      <c r="R5" s="3"/>
      <c r="S5" s="10"/>
      <c r="T5" s="10"/>
      <c r="U5" s="25">
        <f t="shared" ref="U5:U21" si="0">SUM(K5:T5)</f>
        <v>435</v>
      </c>
    </row>
    <row r="6" spans="1:21" ht="20.100000000000001" customHeight="1" thickBot="1" x14ac:dyDescent="0.3">
      <c r="A6" s="46">
        <v>3</v>
      </c>
      <c r="B6" s="43" t="s">
        <v>17</v>
      </c>
      <c r="C6" s="45" t="s">
        <v>20</v>
      </c>
      <c r="D6" s="45" t="s">
        <v>60</v>
      </c>
      <c r="E6" s="45" t="s">
        <v>8</v>
      </c>
      <c r="F6" s="263"/>
      <c r="G6" s="264"/>
      <c r="H6" s="9">
        <v>2</v>
      </c>
      <c r="I6" s="9"/>
      <c r="J6" s="20" t="s">
        <v>19</v>
      </c>
      <c r="K6" s="2">
        <v>138</v>
      </c>
      <c r="L6" s="2">
        <f>23+94+36</f>
        <v>153</v>
      </c>
      <c r="M6" s="2">
        <v>-29</v>
      </c>
      <c r="N6" s="2">
        <v>38</v>
      </c>
      <c r="O6" s="2">
        <v>-107</v>
      </c>
      <c r="P6" s="2"/>
      <c r="Q6" s="2"/>
      <c r="R6" s="2"/>
      <c r="S6" s="7"/>
      <c r="T6" s="7"/>
      <c r="U6" s="8">
        <f t="shared" si="0"/>
        <v>193</v>
      </c>
    </row>
    <row r="7" spans="1:21" ht="20.100000000000001" customHeight="1" thickBot="1" x14ac:dyDescent="0.3">
      <c r="A7" s="46">
        <v>4</v>
      </c>
      <c r="B7" s="43" t="s">
        <v>50</v>
      </c>
      <c r="C7" s="45" t="s">
        <v>5</v>
      </c>
      <c r="D7" s="45" t="s">
        <v>43</v>
      </c>
      <c r="E7" s="45" t="s">
        <v>9</v>
      </c>
      <c r="F7" s="263"/>
      <c r="G7" s="264"/>
      <c r="H7" s="9">
        <v>3</v>
      </c>
      <c r="I7" s="9"/>
      <c r="J7" s="20" t="s">
        <v>4</v>
      </c>
      <c r="K7" s="2">
        <f>16+2+51</f>
        <v>69</v>
      </c>
      <c r="L7" s="2">
        <v>-12</v>
      </c>
      <c r="M7" s="2">
        <v>-14</v>
      </c>
      <c r="N7" s="2">
        <f>23+22+15</f>
        <v>60</v>
      </c>
      <c r="O7" s="2">
        <f>15+14+2</f>
        <v>31</v>
      </c>
      <c r="P7" s="2"/>
      <c r="Q7" s="2"/>
      <c r="R7" s="2"/>
      <c r="S7" s="7"/>
      <c r="T7" s="7"/>
      <c r="U7" s="8">
        <f t="shared" si="0"/>
        <v>134</v>
      </c>
    </row>
    <row r="8" spans="1:21" ht="20.100000000000001" customHeight="1" thickBot="1" x14ac:dyDescent="0.3">
      <c r="A8" s="5">
        <v>1</v>
      </c>
      <c r="B8" s="17" t="s">
        <v>44</v>
      </c>
      <c r="C8" s="17" t="s">
        <v>20</v>
      </c>
      <c r="D8" s="17" t="s">
        <v>7</v>
      </c>
      <c r="E8" s="17" t="s">
        <v>17</v>
      </c>
      <c r="F8" s="265" t="s">
        <v>18</v>
      </c>
      <c r="G8" s="258" t="s">
        <v>29</v>
      </c>
      <c r="H8" s="9">
        <v>4</v>
      </c>
      <c r="I8" s="9"/>
      <c r="J8" s="20" t="s">
        <v>5</v>
      </c>
      <c r="K8" s="2">
        <v>-19</v>
      </c>
      <c r="L8" s="2">
        <v>122</v>
      </c>
      <c r="M8" s="2">
        <v>-10</v>
      </c>
      <c r="N8" s="2">
        <v>-19</v>
      </c>
      <c r="O8" s="2">
        <v>-14</v>
      </c>
      <c r="P8" s="2"/>
      <c r="Q8" s="2"/>
      <c r="R8" s="2"/>
      <c r="S8" s="7"/>
      <c r="T8" s="7"/>
      <c r="U8" s="8">
        <f t="shared" si="0"/>
        <v>60</v>
      </c>
    </row>
    <row r="9" spans="1:21" ht="20.100000000000001" customHeight="1" thickBot="1" x14ac:dyDescent="0.3">
      <c r="A9" s="6">
        <v>2</v>
      </c>
      <c r="B9" s="15" t="s">
        <v>19</v>
      </c>
      <c r="C9" s="17" t="s">
        <v>12</v>
      </c>
      <c r="D9" s="17" t="s">
        <v>6</v>
      </c>
      <c r="E9" s="30" t="s">
        <v>21</v>
      </c>
      <c r="F9" s="231"/>
      <c r="G9" s="258"/>
      <c r="H9" s="9">
        <v>5</v>
      </c>
      <c r="I9" s="9"/>
      <c r="J9" s="20" t="s">
        <v>17</v>
      </c>
      <c r="K9" s="2">
        <f>51+36+54</f>
        <v>141</v>
      </c>
      <c r="L9" s="2">
        <v>-16</v>
      </c>
      <c r="M9" s="2">
        <v>-11</v>
      </c>
      <c r="N9" s="2">
        <v>-154</v>
      </c>
      <c r="O9" s="2">
        <f>48+19+14</f>
        <v>81</v>
      </c>
      <c r="P9" s="2"/>
      <c r="Q9" s="2"/>
      <c r="R9" s="2"/>
      <c r="S9" s="7"/>
      <c r="T9" s="7"/>
      <c r="U9" s="8">
        <f t="shared" si="0"/>
        <v>41</v>
      </c>
    </row>
    <row r="10" spans="1:21" ht="20.100000000000001" customHeight="1" thickBot="1" x14ac:dyDescent="0.3">
      <c r="A10" s="6">
        <v>3</v>
      </c>
      <c r="B10" s="15" t="s">
        <v>5</v>
      </c>
      <c r="C10" s="17" t="s">
        <v>3</v>
      </c>
      <c r="D10" s="17" t="s">
        <v>60</v>
      </c>
      <c r="E10" s="17" t="s">
        <v>9</v>
      </c>
      <c r="F10" s="231"/>
      <c r="G10" s="258"/>
      <c r="H10" s="9">
        <v>6</v>
      </c>
      <c r="I10" s="9"/>
      <c r="J10" s="20" t="s">
        <v>2</v>
      </c>
      <c r="K10" s="2">
        <v>-51</v>
      </c>
      <c r="L10" s="2">
        <v>-2</v>
      </c>
      <c r="M10" s="2">
        <f>20+14+11</f>
        <v>45</v>
      </c>
      <c r="N10" s="2">
        <f>6+4+19</f>
        <v>29</v>
      </c>
      <c r="O10" s="2">
        <v>-11</v>
      </c>
      <c r="P10" s="2"/>
      <c r="Q10" s="2"/>
      <c r="R10" s="2"/>
      <c r="S10" s="7"/>
      <c r="T10" s="7"/>
      <c r="U10" s="8">
        <f t="shared" si="0"/>
        <v>10</v>
      </c>
    </row>
    <row r="11" spans="1:21" ht="20.100000000000001" customHeight="1" thickBot="1" x14ac:dyDescent="0.3">
      <c r="A11" s="6">
        <v>4</v>
      </c>
      <c r="B11" s="15" t="s">
        <v>2</v>
      </c>
      <c r="C11" s="17" t="s">
        <v>48</v>
      </c>
      <c r="D11" s="17" t="s">
        <v>8</v>
      </c>
      <c r="E11" s="17" t="s">
        <v>4</v>
      </c>
      <c r="F11" s="231"/>
      <c r="G11" s="258"/>
      <c r="H11" s="9">
        <v>7</v>
      </c>
      <c r="I11" s="9"/>
      <c r="J11" s="20" t="s">
        <v>20</v>
      </c>
      <c r="K11" s="2">
        <v>-51</v>
      </c>
      <c r="L11" s="2">
        <f>29+16+20</f>
        <v>65</v>
      </c>
      <c r="M11" s="2">
        <v>-13</v>
      </c>
      <c r="N11" s="2">
        <v>-84</v>
      </c>
      <c r="O11" s="2">
        <v>83</v>
      </c>
      <c r="P11" s="2"/>
      <c r="Q11" s="2"/>
      <c r="R11" s="2"/>
      <c r="S11" s="7"/>
      <c r="T11" s="7"/>
      <c r="U11" s="8">
        <f t="shared" si="0"/>
        <v>0</v>
      </c>
    </row>
    <row r="12" spans="1:21" ht="20.100000000000001" customHeight="1" thickBot="1" x14ac:dyDescent="0.3">
      <c r="A12" s="11">
        <v>1</v>
      </c>
      <c r="B12" s="18" t="s">
        <v>2</v>
      </c>
      <c r="C12" s="19" t="s">
        <v>6</v>
      </c>
      <c r="D12" s="18" t="s">
        <v>4</v>
      </c>
      <c r="E12" s="18" t="s">
        <v>17</v>
      </c>
      <c r="F12" s="244"/>
      <c r="G12" s="259" t="s">
        <v>30</v>
      </c>
      <c r="H12" s="9">
        <v>8</v>
      </c>
      <c r="I12" s="9"/>
      <c r="J12" s="20" t="s">
        <v>43</v>
      </c>
      <c r="K12" s="2">
        <v>-10</v>
      </c>
      <c r="L12" s="2">
        <f>12+2+33</f>
        <v>47</v>
      </c>
      <c r="M12" s="2">
        <v>21</v>
      </c>
      <c r="N12" s="2">
        <v>-12</v>
      </c>
      <c r="O12" s="2">
        <v>-48</v>
      </c>
      <c r="P12" s="2"/>
      <c r="Q12" s="2"/>
      <c r="R12" s="2"/>
      <c r="S12" s="7"/>
      <c r="T12" s="7"/>
      <c r="U12" s="8">
        <f t="shared" si="0"/>
        <v>-2</v>
      </c>
    </row>
    <row r="13" spans="1:21" ht="20.100000000000001" customHeight="1" thickBot="1" x14ac:dyDescent="0.3">
      <c r="A13" s="12">
        <v>2</v>
      </c>
      <c r="B13" s="13" t="s">
        <v>5</v>
      </c>
      <c r="C13" s="14" t="s">
        <v>21</v>
      </c>
      <c r="D13" s="14" t="s">
        <v>43</v>
      </c>
      <c r="E13" s="14" t="s">
        <v>7</v>
      </c>
      <c r="F13" s="244"/>
      <c r="G13" s="259"/>
      <c r="H13" s="9">
        <v>9</v>
      </c>
      <c r="I13" s="9"/>
      <c r="J13" s="47" t="s">
        <v>18</v>
      </c>
      <c r="K13" s="2">
        <v>0</v>
      </c>
      <c r="L13" s="2">
        <v>0</v>
      </c>
      <c r="M13" s="2">
        <v>90</v>
      </c>
      <c r="N13" s="2">
        <v>-83</v>
      </c>
      <c r="O13" s="2">
        <v>-11</v>
      </c>
      <c r="P13" s="2"/>
      <c r="Q13" s="2"/>
      <c r="R13" s="2"/>
      <c r="S13" s="7"/>
      <c r="T13" s="7"/>
      <c r="U13" s="8">
        <f t="shared" si="0"/>
        <v>-4</v>
      </c>
    </row>
    <row r="14" spans="1:21" ht="20.100000000000001" customHeight="1" thickBot="1" x14ac:dyDescent="0.3">
      <c r="A14" s="12">
        <v>3</v>
      </c>
      <c r="B14" s="13" t="s">
        <v>20</v>
      </c>
      <c r="C14" s="14" t="s">
        <v>3</v>
      </c>
      <c r="D14" s="14" t="s">
        <v>9</v>
      </c>
      <c r="E14" s="14" t="s">
        <v>19</v>
      </c>
      <c r="F14" s="244"/>
      <c r="G14" s="259"/>
      <c r="H14" s="9">
        <v>10</v>
      </c>
      <c r="I14" s="9"/>
      <c r="J14" s="20" t="s">
        <v>3</v>
      </c>
      <c r="K14" s="2">
        <v>-37</v>
      </c>
      <c r="L14" s="2">
        <v>-24</v>
      </c>
      <c r="M14" s="2">
        <v>90</v>
      </c>
      <c r="N14" s="2">
        <v>-22</v>
      </c>
      <c r="O14" s="2">
        <v>-52</v>
      </c>
      <c r="P14" s="2"/>
      <c r="Q14" s="2"/>
      <c r="R14" s="2"/>
      <c r="S14" s="7"/>
      <c r="T14" s="7"/>
      <c r="U14" s="8">
        <f t="shared" si="0"/>
        <v>-45</v>
      </c>
    </row>
    <row r="15" spans="1:21" ht="20.100000000000001" customHeight="1" thickBot="1" x14ac:dyDescent="0.3">
      <c r="A15" s="12">
        <v>4</v>
      </c>
      <c r="B15" s="13" t="s">
        <v>44</v>
      </c>
      <c r="C15" s="14" t="s">
        <v>60</v>
      </c>
      <c r="D15" s="14" t="s">
        <v>12</v>
      </c>
      <c r="E15" s="14" t="s">
        <v>8</v>
      </c>
      <c r="F15" s="244"/>
      <c r="G15" s="259"/>
      <c r="H15" s="9">
        <v>11</v>
      </c>
      <c r="I15" s="9"/>
      <c r="J15" s="20" t="s">
        <v>8</v>
      </c>
      <c r="K15" s="2">
        <v>-36</v>
      </c>
      <c r="L15" s="2">
        <v>-33</v>
      </c>
      <c r="M15" s="2">
        <v>0</v>
      </c>
      <c r="N15" s="2">
        <v>0</v>
      </c>
      <c r="O15" s="2"/>
      <c r="P15" s="2"/>
      <c r="Q15" s="2"/>
      <c r="R15" s="2"/>
      <c r="S15" s="7"/>
      <c r="T15" s="7"/>
      <c r="U15" s="8">
        <f t="shared" si="0"/>
        <v>-69</v>
      </c>
    </row>
    <row r="16" spans="1:21" ht="20.100000000000001" customHeight="1" thickBot="1" x14ac:dyDescent="0.3">
      <c r="A16" s="5">
        <v>1</v>
      </c>
      <c r="B16" s="15" t="s">
        <v>12</v>
      </c>
      <c r="C16" s="16" t="s">
        <v>9</v>
      </c>
      <c r="D16" s="17" t="s">
        <v>3</v>
      </c>
      <c r="E16" s="17" t="s">
        <v>4</v>
      </c>
      <c r="F16" s="231"/>
      <c r="G16" s="258" t="s">
        <v>31</v>
      </c>
      <c r="H16" s="9">
        <v>12</v>
      </c>
      <c r="I16" s="9"/>
      <c r="J16" s="20" t="s">
        <v>44</v>
      </c>
      <c r="K16" s="2">
        <v>-16</v>
      </c>
      <c r="L16" s="2">
        <v>-29</v>
      </c>
      <c r="M16" s="2">
        <v>-4</v>
      </c>
      <c r="N16" s="2">
        <v>-16</v>
      </c>
      <c r="O16" s="2">
        <v>-15</v>
      </c>
      <c r="P16" s="2"/>
      <c r="Q16" s="2"/>
      <c r="R16" s="2"/>
      <c r="S16" s="7"/>
      <c r="T16" s="7"/>
      <c r="U16" s="8">
        <f t="shared" si="0"/>
        <v>-80</v>
      </c>
    </row>
    <row r="17" spans="1:21" ht="20.100000000000001" customHeight="1" thickBot="1" x14ac:dyDescent="0.3">
      <c r="A17" s="6">
        <v>2</v>
      </c>
      <c r="B17" s="15" t="s">
        <v>5</v>
      </c>
      <c r="C17" s="17" t="s">
        <v>60</v>
      </c>
      <c r="D17" s="17" t="s">
        <v>7</v>
      </c>
      <c r="E17" s="17" t="s">
        <v>2</v>
      </c>
      <c r="F17" s="231"/>
      <c r="G17" s="258"/>
      <c r="H17" s="9">
        <v>13</v>
      </c>
      <c r="I17" s="9"/>
      <c r="J17" s="20" t="s">
        <v>6</v>
      </c>
      <c r="K17" s="2">
        <f>19+10+10</f>
        <v>39</v>
      </c>
      <c r="L17" s="2">
        <v>-36</v>
      </c>
      <c r="M17" s="2">
        <v>-20</v>
      </c>
      <c r="N17" s="2">
        <v>-10</v>
      </c>
      <c r="O17" s="2">
        <v>-71</v>
      </c>
      <c r="P17" s="2"/>
      <c r="Q17" s="2"/>
      <c r="R17" s="2"/>
      <c r="S17" s="7"/>
      <c r="T17" s="7"/>
      <c r="U17" s="8">
        <f t="shared" si="0"/>
        <v>-98</v>
      </c>
    </row>
    <row r="18" spans="1:21" ht="20.100000000000001" customHeight="1" thickBot="1" x14ac:dyDescent="0.3">
      <c r="A18" s="6">
        <v>3</v>
      </c>
      <c r="B18" s="15" t="s">
        <v>8</v>
      </c>
      <c r="C18" s="17" t="s">
        <v>17</v>
      </c>
      <c r="D18" s="17" t="s">
        <v>20</v>
      </c>
      <c r="E18" s="17" t="s">
        <v>21</v>
      </c>
      <c r="F18" s="231"/>
      <c r="G18" s="258"/>
      <c r="H18" s="9">
        <v>14</v>
      </c>
      <c r="I18" s="9"/>
      <c r="J18" s="20" t="s">
        <v>7</v>
      </c>
      <c r="K18" s="2">
        <v>-76</v>
      </c>
      <c r="L18" s="2">
        <v>-20</v>
      </c>
      <c r="M18" s="2">
        <v>-3</v>
      </c>
      <c r="N18" s="2">
        <v>-4</v>
      </c>
      <c r="O18" s="2">
        <v>-19</v>
      </c>
      <c r="P18" s="2"/>
      <c r="Q18" s="2"/>
      <c r="R18" s="2"/>
      <c r="S18" s="7"/>
      <c r="T18" s="7"/>
      <c r="U18" s="8">
        <f t="shared" si="0"/>
        <v>-122</v>
      </c>
    </row>
    <row r="19" spans="1:21" ht="20.100000000000001" customHeight="1" thickBot="1" x14ac:dyDescent="0.3">
      <c r="A19" s="6">
        <v>4</v>
      </c>
      <c r="B19" s="15" t="s">
        <v>50</v>
      </c>
      <c r="C19" s="17" t="s">
        <v>19</v>
      </c>
      <c r="D19" s="17" t="s">
        <v>44</v>
      </c>
      <c r="E19" s="17" t="s">
        <v>43</v>
      </c>
      <c r="F19" s="231"/>
      <c r="G19" s="258"/>
      <c r="H19" s="9">
        <v>15</v>
      </c>
      <c r="I19" s="9"/>
      <c r="J19" s="20" t="s">
        <v>9</v>
      </c>
      <c r="K19" s="2">
        <v>-10</v>
      </c>
      <c r="L19" s="2">
        <v>-42</v>
      </c>
      <c r="M19" s="2">
        <v>-48</v>
      </c>
      <c r="N19" s="2">
        <v>-23</v>
      </c>
      <c r="O19" s="2">
        <v>-1</v>
      </c>
      <c r="P19" s="2"/>
      <c r="Q19" s="2"/>
      <c r="R19" s="2"/>
      <c r="S19" s="7"/>
      <c r="T19" s="7"/>
      <c r="U19" s="8">
        <f t="shared" si="0"/>
        <v>-124</v>
      </c>
    </row>
    <row r="20" spans="1:21" ht="20.100000000000001" customHeight="1" thickBot="1" x14ac:dyDescent="0.3">
      <c r="A20" s="11">
        <v>1</v>
      </c>
      <c r="B20" s="18" t="s">
        <v>60</v>
      </c>
      <c r="C20" s="19" t="s">
        <v>4</v>
      </c>
      <c r="D20" s="18" t="s">
        <v>44</v>
      </c>
      <c r="E20" s="18" t="s">
        <v>12</v>
      </c>
      <c r="F20" s="260"/>
      <c r="G20" s="259" t="s">
        <v>32</v>
      </c>
      <c r="H20" s="9">
        <v>16</v>
      </c>
      <c r="I20" s="9"/>
      <c r="J20" s="29" t="s">
        <v>60</v>
      </c>
      <c r="K20" s="2">
        <v>-54</v>
      </c>
      <c r="L20" s="2">
        <v>-56</v>
      </c>
      <c r="M20" s="2">
        <v>-44</v>
      </c>
      <c r="N20" s="2">
        <v>-6</v>
      </c>
      <c r="O20" s="2">
        <v>-2</v>
      </c>
      <c r="P20" s="2"/>
      <c r="Q20" s="2"/>
      <c r="R20" s="2"/>
      <c r="S20" s="7"/>
      <c r="T20" s="7"/>
      <c r="U20" s="8">
        <f t="shared" si="0"/>
        <v>-162</v>
      </c>
    </row>
    <row r="21" spans="1:21" ht="20.100000000000001" customHeight="1" thickBot="1" x14ac:dyDescent="0.3">
      <c r="A21" s="12">
        <v>2</v>
      </c>
      <c r="B21" s="13" t="s">
        <v>43</v>
      </c>
      <c r="C21" s="14" t="s">
        <v>17</v>
      </c>
      <c r="D21" s="14" t="s">
        <v>5</v>
      </c>
      <c r="E21" s="14" t="s">
        <v>7</v>
      </c>
      <c r="F21" s="260"/>
      <c r="G21" s="259"/>
      <c r="H21" s="9">
        <v>17</v>
      </c>
      <c r="I21" s="9"/>
      <c r="J21" s="28" t="s">
        <v>12</v>
      </c>
      <c r="K21" s="22">
        <v>-2</v>
      </c>
      <c r="L21" s="22">
        <v>-94</v>
      </c>
      <c r="M21" s="22">
        <v>-42</v>
      </c>
      <c r="N21" s="22">
        <v>-15</v>
      </c>
      <c r="O21" s="22">
        <v>-14</v>
      </c>
      <c r="P21" s="22"/>
      <c r="Q21" s="22"/>
      <c r="R21" s="22"/>
      <c r="S21" s="23"/>
      <c r="T21" s="23"/>
      <c r="U21" s="8">
        <f t="shared" si="0"/>
        <v>-167</v>
      </c>
    </row>
    <row r="22" spans="1:21" ht="20.100000000000001" customHeight="1" thickBot="1" x14ac:dyDescent="0.3">
      <c r="A22" s="12">
        <v>3</v>
      </c>
      <c r="B22" s="13" t="s">
        <v>9</v>
      </c>
      <c r="C22" s="14" t="s">
        <v>6</v>
      </c>
      <c r="D22" s="14" t="s">
        <v>20</v>
      </c>
      <c r="E22" s="14" t="s">
        <v>2</v>
      </c>
      <c r="F22" s="260"/>
      <c r="G22" s="259"/>
      <c r="H22" s="9"/>
      <c r="I22" s="9"/>
    </row>
    <row r="23" spans="1:21" ht="20.100000000000001" customHeight="1" thickBot="1" x14ac:dyDescent="0.3">
      <c r="A23" s="12">
        <v>4</v>
      </c>
      <c r="B23" s="13" t="s">
        <v>8</v>
      </c>
      <c r="C23" s="14" t="s">
        <v>3</v>
      </c>
      <c r="D23" s="14" t="s">
        <v>19</v>
      </c>
      <c r="E23" s="14" t="s">
        <v>21</v>
      </c>
      <c r="F23" s="260"/>
      <c r="G23" s="259"/>
      <c r="H23" s="9"/>
      <c r="I23" s="9"/>
      <c r="J23" s="246" t="s">
        <v>61</v>
      </c>
      <c r="K23" s="247"/>
      <c r="L23" s="247"/>
      <c r="M23" s="247"/>
      <c r="N23" s="247"/>
      <c r="O23" s="247"/>
      <c r="P23" s="247"/>
      <c r="Q23" s="247"/>
      <c r="R23" s="248"/>
    </row>
    <row r="24" spans="1:21" ht="20.100000000000001" customHeight="1" x14ac:dyDescent="0.25">
      <c r="A24" s="5">
        <v>1</v>
      </c>
      <c r="B24" s="15" t="s">
        <v>2</v>
      </c>
      <c r="C24" s="17" t="s">
        <v>19</v>
      </c>
      <c r="D24" s="17" t="s">
        <v>60</v>
      </c>
      <c r="E24" s="17" t="s">
        <v>9</v>
      </c>
      <c r="F24" s="261"/>
      <c r="G24" s="258" t="s">
        <v>33</v>
      </c>
      <c r="H24" s="9"/>
      <c r="I24" s="9"/>
      <c r="J24" s="249"/>
      <c r="K24" s="250"/>
      <c r="L24" s="250"/>
      <c r="M24" s="250"/>
      <c r="N24" s="250"/>
      <c r="O24" s="250"/>
      <c r="P24" s="250"/>
      <c r="Q24" s="250"/>
      <c r="R24" s="251"/>
      <c r="S24" s="9"/>
      <c r="U24" s="9"/>
    </row>
    <row r="25" spans="1:21" ht="20.100000000000001" customHeight="1" thickBot="1" x14ac:dyDescent="0.3">
      <c r="A25" s="6">
        <v>2</v>
      </c>
      <c r="B25" s="15" t="s">
        <v>21</v>
      </c>
      <c r="C25" s="17" t="s">
        <v>8</v>
      </c>
      <c r="D25" s="17" t="s">
        <v>4</v>
      </c>
      <c r="E25" s="17" t="s">
        <v>5</v>
      </c>
      <c r="F25" s="261"/>
      <c r="G25" s="258"/>
      <c r="H25" s="9"/>
      <c r="I25" s="9"/>
      <c r="J25" s="32"/>
      <c r="K25" s="33"/>
      <c r="L25" s="33"/>
      <c r="M25" s="33"/>
      <c r="N25" s="33"/>
      <c r="O25" s="33"/>
      <c r="P25" s="33"/>
      <c r="Q25" s="33"/>
      <c r="R25" s="34"/>
    </row>
    <row r="26" spans="1:21" ht="20.100000000000001" customHeight="1" x14ac:dyDescent="0.25">
      <c r="A26" s="6">
        <v>3</v>
      </c>
      <c r="B26" s="15" t="s">
        <v>20</v>
      </c>
      <c r="C26" s="17" t="s">
        <v>12</v>
      </c>
      <c r="D26" s="17" t="s">
        <v>49</v>
      </c>
      <c r="E26" s="17" t="s">
        <v>43</v>
      </c>
      <c r="F26" s="261"/>
      <c r="G26" s="258"/>
      <c r="H26" s="9"/>
      <c r="I26" s="9"/>
      <c r="J26" s="32"/>
      <c r="K26" s="33"/>
      <c r="L26" s="33"/>
      <c r="M26" s="238" t="str">
        <f>$J$5</f>
        <v>Sune</v>
      </c>
      <c r="N26" s="239"/>
      <c r="O26" s="240"/>
      <c r="P26" s="33"/>
      <c r="Q26" s="33"/>
      <c r="R26" s="34"/>
    </row>
    <row r="27" spans="1:21" ht="20.100000000000001" customHeight="1" thickBot="1" x14ac:dyDescent="0.3">
      <c r="A27" s="6">
        <v>4</v>
      </c>
      <c r="B27" s="15" t="s">
        <v>17</v>
      </c>
      <c r="C27" s="17" t="s">
        <v>44</v>
      </c>
      <c r="D27" s="17" t="s">
        <v>7</v>
      </c>
      <c r="E27" s="17" t="s">
        <v>3</v>
      </c>
      <c r="F27" s="261"/>
      <c r="G27" s="258"/>
      <c r="H27" s="9"/>
      <c r="I27" s="9"/>
      <c r="J27" s="32"/>
      <c r="K27" s="33"/>
      <c r="L27" s="33"/>
      <c r="M27" s="241"/>
      <c r="N27" s="242"/>
      <c r="O27" s="243"/>
      <c r="P27" s="33"/>
      <c r="Q27" s="33"/>
      <c r="R27" s="34"/>
    </row>
    <row r="28" spans="1:21" ht="20.100000000000001" customHeight="1" x14ac:dyDescent="0.25">
      <c r="A28" s="11">
        <v>1</v>
      </c>
      <c r="B28" s="18" t="s">
        <v>8</v>
      </c>
      <c r="C28" s="19" t="s">
        <v>20</v>
      </c>
      <c r="D28" s="18" t="s">
        <v>12</v>
      </c>
      <c r="E28" s="18" t="s">
        <v>3</v>
      </c>
      <c r="F28" s="260"/>
      <c r="G28" s="259" t="s">
        <v>34</v>
      </c>
      <c r="H28" s="9"/>
      <c r="I28" s="9"/>
      <c r="J28" s="232" t="str">
        <f>$J$6</f>
        <v>Amalie</v>
      </c>
      <c r="K28" s="233"/>
      <c r="L28" s="234"/>
      <c r="M28" s="33"/>
      <c r="N28" s="33"/>
      <c r="O28" s="33"/>
      <c r="P28" s="252" t="str">
        <f>$J$7</f>
        <v>Josephine</v>
      </c>
      <c r="Q28" s="253"/>
      <c r="R28" s="254"/>
    </row>
    <row r="29" spans="1:21" ht="20.100000000000001" customHeight="1" thickBot="1" x14ac:dyDescent="0.3">
      <c r="A29" s="12">
        <v>2</v>
      </c>
      <c r="B29" s="13" t="s">
        <v>5</v>
      </c>
      <c r="C29" s="14" t="s">
        <v>4</v>
      </c>
      <c r="D29" s="14" t="s">
        <v>43</v>
      </c>
      <c r="E29" s="14" t="s">
        <v>6</v>
      </c>
      <c r="F29" s="260"/>
      <c r="G29" s="259"/>
      <c r="H29" s="9"/>
      <c r="I29" s="9"/>
      <c r="J29" s="235"/>
      <c r="K29" s="236"/>
      <c r="L29" s="237"/>
      <c r="M29" s="35"/>
      <c r="N29" s="35"/>
      <c r="O29" s="35"/>
      <c r="P29" s="255"/>
      <c r="Q29" s="256"/>
      <c r="R29" s="257"/>
    </row>
    <row r="30" spans="1:21" ht="20.100000000000001" customHeight="1" x14ac:dyDescent="0.25">
      <c r="A30" s="12">
        <v>3</v>
      </c>
      <c r="B30" s="13" t="s">
        <v>2</v>
      </c>
      <c r="C30" s="14" t="s">
        <v>17</v>
      </c>
      <c r="D30" s="14" t="s">
        <v>21</v>
      </c>
      <c r="E30" s="14" t="s">
        <v>9</v>
      </c>
      <c r="F30" s="260"/>
      <c r="G30" s="259"/>
      <c r="H30" s="9"/>
      <c r="I30" s="9"/>
    </row>
    <row r="31" spans="1:21" ht="20.100000000000001" customHeight="1" thickBot="1" x14ac:dyDescent="0.3">
      <c r="A31" s="12">
        <v>4</v>
      </c>
      <c r="B31" s="13" t="s">
        <v>7</v>
      </c>
      <c r="C31" s="14" t="s">
        <v>60</v>
      </c>
      <c r="D31" s="14" t="s">
        <v>44</v>
      </c>
      <c r="E31" s="14" t="s">
        <v>19</v>
      </c>
      <c r="F31" s="260"/>
      <c r="G31" s="259"/>
      <c r="H31" s="9"/>
      <c r="I31" s="9"/>
    </row>
    <row r="32" spans="1:21" ht="20.100000000000001" customHeight="1" x14ac:dyDescent="0.25">
      <c r="A32" s="5">
        <v>1</v>
      </c>
      <c r="F32" s="231"/>
      <c r="G32" s="258" t="s">
        <v>35</v>
      </c>
      <c r="H32" s="9"/>
      <c r="I32" s="9"/>
    </row>
    <row r="33" spans="1:9" ht="20.100000000000001" customHeight="1" x14ac:dyDescent="0.25">
      <c r="A33" s="6">
        <v>2</v>
      </c>
      <c r="F33" s="231"/>
      <c r="G33" s="258"/>
      <c r="H33" s="9"/>
      <c r="I33" s="9"/>
    </row>
    <row r="34" spans="1:9" ht="20.100000000000001" customHeight="1" x14ac:dyDescent="0.25">
      <c r="A34" s="6">
        <v>3</v>
      </c>
      <c r="F34" s="231"/>
      <c r="G34" s="258"/>
      <c r="H34" s="9"/>
      <c r="I34" s="9"/>
    </row>
    <row r="35" spans="1:9" ht="20.100000000000001" customHeight="1" thickBot="1" x14ac:dyDescent="0.3">
      <c r="A35" s="6">
        <v>4</v>
      </c>
      <c r="F35" s="231"/>
      <c r="G35" s="258"/>
      <c r="H35" s="9"/>
      <c r="I35" s="9"/>
    </row>
    <row r="36" spans="1:9" ht="20.100000000000001" customHeight="1" x14ac:dyDescent="0.25">
      <c r="A36" s="11">
        <v>1</v>
      </c>
      <c r="B36" s="14" t="s">
        <v>4</v>
      </c>
      <c r="C36" s="14" t="s">
        <v>19</v>
      </c>
      <c r="D36" s="14" t="s">
        <v>21</v>
      </c>
      <c r="E36" s="14" t="s">
        <v>2</v>
      </c>
      <c r="F36" s="244"/>
      <c r="G36" s="259" t="s">
        <v>36</v>
      </c>
      <c r="H36" s="9"/>
      <c r="I36" s="9"/>
    </row>
    <row r="37" spans="1:9" ht="20.100000000000001" customHeight="1" x14ac:dyDescent="0.25">
      <c r="A37" s="12">
        <v>2</v>
      </c>
      <c r="B37" s="13" t="s">
        <v>43</v>
      </c>
      <c r="C37" s="14" t="s">
        <v>12</v>
      </c>
      <c r="D37" s="14" t="s">
        <v>3</v>
      </c>
      <c r="E37" s="31" t="s">
        <v>5</v>
      </c>
      <c r="F37" s="244"/>
      <c r="G37" s="259"/>
    </row>
    <row r="38" spans="1:9" ht="20.100000000000001" customHeight="1" x14ac:dyDescent="0.25">
      <c r="A38" s="12">
        <v>3</v>
      </c>
      <c r="B38" s="13" t="s">
        <v>7</v>
      </c>
      <c r="C38" s="14" t="s">
        <v>9</v>
      </c>
      <c r="D38" s="14" t="s">
        <v>60</v>
      </c>
      <c r="E38" s="14" t="s">
        <v>8</v>
      </c>
      <c r="F38" s="244"/>
      <c r="G38" s="259"/>
    </row>
    <row r="39" spans="1:9" ht="20.100000000000001" customHeight="1" thickBot="1" x14ac:dyDescent="0.3">
      <c r="A39" s="12">
        <v>4</v>
      </c>
      <c r="B39" s="13" t="s">
        <v>17</v>
      </c>
      <c r="C39" s="14" t="s">
        <v>44</v>
      </c>
      <c r="D39" s="14" t="s">
        <v>49</v>
      </c>
      <c r="E39" s="14" t="s">
        <v>20</v>
      </c>
      <c r="F39" s="244"/>
      <c r="G39" s="259"/>
    </row>
    <row r="40" spans="1:9" ht="20.100000000000001" customHeight="1" x14ac:dyDescent="0.25">
      <c r="A40" s="5">
        <v>1</v>
      </c>
      <c r="B40" s="17" t="s">
        <v>9</v>
      </c>
      <c r="C40" s="17" t="s">
        <v>20</v>
      </c>
      <c r="D40" s="17" t="s">
        <v>17</v>
      </c>
      <c r="E40" s="17" t="s">
        <v>6</v>
      </c>
      <c r="F40" s="231"/>
      <c r="G40" s="258" t="s">
        <v>38</v>
      </c>
    </row>
    <row r="41" spans="1:9" ht="20.100000000000001" customHeight="1" x14ac:dyDescent="0.25">
      <c r="A41" s="6">
        <v>2</v>
      </c>
      <c r="B41" s="15" t="s">
        <v>3</v>
      </c>
      <c r="C41" s="17" t="s">
        <v>5</v>
      </c>
      <c r="D41" s="17" t="s">
        <v>7</v>
      </c>
      <c r="E41" s="30" t="s">
        <v>8</v>
      </c>
      <c r="F41" s="231"/>
      <c r="G41" s="258"/>
    </row>
    <row r="42" spans="1:9" ht="20.100000000000001" customHeight="1" x14ac:dyDescent="0.25">
      <c r="A42" s="6">
        <v>3</v>
      </c>
      <c r="B42" s="15" t="s">
        <v>43</v>
      </c>
      <c r="C42" s="17" t="s">
        <v>19</v>
      </c>
      <c r="D42" s="17" t="s">
        <v>4</v>
      </c>
      <c r="E42" s="17" t="s">
        <v>21</v>
      </c>
      <c r="F42" s="231"/>
      <c r="G42" s="258"/>
    </row>
    <row r="43" spans="1:9" ht="20.100000000000001" customHeight="1" x14ac:dyDescent="0.25">
      <c r="A43" s="6">
        <v>4</v>
      </c>
      <c r="B43" s="15" t="s">
        <v>60</v>
      </c>
      <c r="C43" s="17" t="s">
        <v>44</v>
      </c>
      <c r="D43" s="17" t="s">
        <v>2</v>
      </c>
      <c r="E43" s="17" t="s">
        <v>12</v>
      </c>
      <c r="F43" s="231"/>
      <c r="G43" s="258"/>
    </row>
    <row r="44" spans="1:9" ht="19.5" customHeight="1" x14ac:dyDescent="0.25"/>
    <row r="45" spans="1:9" ht="20.100000000000001" customHeight="1" x14ac:dyDescent="0.25">
      <c r="A45" t="s">
        <v>13</v>
      </c>
    </row>
    <row r="46" spans="1:9" ht="20.100000000000001" customHeight="1" x14ac:dyDescent="0.25">
      <c r="A46" t="s">
        <v>42</v>
      </c>
    </row>
    <row r="47" spans="1:9" ht="20.100000000000001" customHeight="1" x14ac:dyDescent="0.25">
      <c r="A47" s="37" t="s">
        <v>15</v>
      </c>
    </row>
    <row r="48" spans="1:9" ht="20.100000000000001" customHeight="1" x14ac:dyDescent="0.25">
      <c r="A48" s="37" t="s">
        <v>16</v>
      </c>
    </row>
  </sheetData>
  <sortState xmlns:xlrd2="http://schemas.microsoft.com/office/spreadsheetml/2017/richdata2" ref="J5:U21">
    <sortCondition descending="1" ref="U5"/>
  </sortState>
  <mergeCells count="25">
    <mergeCell ref="F36:F39"/>
    <mergeCell ref="G36:G39"/>
    <mergeCell ref="F40:F43"/>
    <mergeCell ref="G40:G43"/>
    <mergeCell ref="F28:F31"/>
    <mergeCell ref="G28:G31"/>
    <mergeCell ref="J28:L29"/>
    <mergeCell ref="P28:R29"/>
    <mergeCell ref="F32:F35"/>
    <mergeCell ref="G32:G35"/>
    <mergeCell ref="F16:F19"/>
    <mergeCell ref="G16:G19"/>
    <mergeCell ref="F20:F23"/>
    <mergeCell ref="G20:G23"/>
    <mergeCell ref="J23:R24"/>
    <mergeCell ref="F24:F27"/>
    <mergeCell ref="G24:G27"/>
    <mergeCell ref="M26:O27"/>
    <mergeCell ref="F12:F15"/>
    <mergeCell ref="G12:G15"/>
    <mergeCell ref="K3:T3"/>
    <mergeCell ref="F4:F7"/>
    <mergeCell ref="G4:G7"/>
    <mergeCell ref="F8:F11"/>
    <mergeCell ref="G8:G11"/>
  </mergeCells>
  <conditionalFormatting sqref="K5:U21">
    <cfRule type="cellIs" dxfId="11" priority="1" stopIfTrue="1" operator="greaterThan">
      <formula>0</formula>
    </cfRule>
    <cfRule type="cellIs" dxfId="10" priority="2" stopIfTrue="1" operator="lessThan">
      <formula>0</formula>
    </cfRule>
    <cfRule type="cellIs" dxfId="9" priority="3" stopIfTrue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dater">
                <anchor moveWithCells="1">
                  <from>
                    <xdr:col>18</xdr:col>
                    <xdr:colOff>297180</xdr:colOff>
                    <xdr:row>24</xdr:row>
                    <xdr:rowOff>76200</xdr:rowOff>
                  </from>
                  <to>
                    <xdr:col>20</xdr:col>
                    <xdr:colOff>510540</xdr:colOff>
                    <xdr:row>26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3"/>
  <dimension ref="A1:AA48"/>
  <sheetViews>
    <sheetView zoomScale="60" zoomScaleNormal="60" workbookViewId="0">
      <selection activeCell="I16" sqref="I16"/>
    </sheetView>
  </sheetViews>
  <sheetFormatPr defaultRowHeight="20.100000000000001" customHeight="1" x14ac:dyDescent="0.25"/>
  <cols>
    <col min="2" max="4" width="13.77734375" customWidth="1"/>
    <col min="5" max="5" width="13.21875" customWidth="1"/>
    <col min="7" max="7" width="9.21875" customWidth="1"/>
    <col min="8" max="8" width="4.77734375" customWidth="1"/>
    <col min="10" max="10" width="11.21875" bestFit="1" customWidth="1"/>
    <col min="19" max="19" width="9.77734375" bestFit="1" customWidth="1"/>
    <col min="24" max="24" width="12.77734375" customWidth="1"/>
    <col min="25" max="25" width="10.44140625" customWidth="1"/>
  </cols>
  <sheetData>
    <row r="1" spans="1:27" ht="20.100000000000001" customHeight="1" x14ac:dyDescent="0.3">
      <c r="A1" s="1" t="s">
        <v>64</v>
      </c>
      <c r="D1" s="36"/>
    </row>
    <row r="3" spans="1:27" ht="20.100000000000001" customHeight="1" thickBot="1" x14ac:dyDescent="0.3">
      <c r="A3" s="4" t="s">
        <v>27</v>
      </c>
      <c r="B3" s="4" t="s">
        <v>0</v>
      </c>
      <c r="C3" s="4" t="s">
        <v>0</v>
      </c>
      <c r="D3" s="4" t="s">
        <v>0</v>
      </c>
      <c r="E3" s="4" t="s">
        <v>0</v>
      </c>
      <c r="F3" s="9" t="s">
        <v>37</v>
      </c>
      <c r="K3" s="245" t="s">
        <v>1</v>
      </c>
      <c r="L3" s="245"/>
      <c r="M3" s="245"/>
      <c r="N3" s="245"/>
      <c r="O3" s="245"/>
      <c r="P3" s="245"/>
      <c r="Q3" s="245"/>
      <c r="R3" s="245"/>
      <c r="S3" s="245"/>
      <c r="T3" s="245"/>
      <c r="X3" t="s">
        <v>63</v>
      </c>
      <c r="Y3" t="s">
        <v>62</v>
      </c>
      <c r="Z3" s="266" t="s">
        <v>65</v>
      </c>
      <c r="AA3" s="266"/>
    </row>
    <row r="4" spans="1:27" ht="20.100000000000001" customHeight="1" thickBot="1" x14ac:dyDescent="0.3">
      <c r="A4" s="42">
        <v>1</v>
      </c>
      <c r="B4" s="43"/>
      <c r="C4" s="43"/>
      <c r="D4" s="43"/>
      <c r="E4" s="43"/>
      <c r="F4" s="262"/>
      <c r="G4" s="264" t="s">
        <v>28</v>
      </c>
      <c r="H4" s="9"/>
      <c r="I4" s="9"/>
      <c r="J4" s="21" t="s">
        <v>10</v>
      </c>
      <c r="K4" s="26" t="s">
        <v>28</v>
      </c>
      <c r="L4" s="26" t="s">
        <v>29</v>
      </c>
      <c r="M4" s="26" t="s">
        <v>30</v>
      </c>
      <c r="N4" s="26" t="s">
        <v>31</v>
      </c>
      <c r="O4" s="26" t="s">
        <v>32</v>
      </c>
      <c r="P4" s="26" t="s">
        <v>33</v>
      </c>
      <c r="Q4" s="26" t="s">
        <v>34</v>
      </c>
      <c r="R4" s="26" t="s">
        <v>35</v>
      </c>
      <c r="S4" s="26" t="s">
        <v>36</v>
      </c>
      <c r="T4" s="26" t="s">
        <v>38</v>
      </c>
      <c r="U4" s="27" t="s">
        <v>11</v>
      </c>
      <c r="X4">
        <f t="shared" ref="X4:X18" ca="1" si="0">RAND()</f>
        <v>0.47738609613096883</v>
      </c>
      <c r="Y4" t="s">
        <v>21</v>
      </c>
      <c r="Z4" s="266"/>
      <c r="AA4" s="266"/>
    </row>
    <row r="5" spans="1:27" ht="20.100000000000001" customHeight="1" thickBot="1" x14ac:dyDescent="0.3">
      <c r="A5" s="46">
        <v>2</v>
      </c>
      <c r="B5" s="43" t="s">
        <v>4</v>
      </c>
      <c r="C5" s="43" t="s">
        <v>8</v>
      </c>
      <c r="D5" s="43" t="s">
        <v>3</v>
      </c>
      <c r="E5" s="43" t="s">
        <v>44</v>
      </c>
      <c r="F5" s="263"/>
      <c r="G5" s="264"/>
      <c r="I5" s="49">
        <v>1</v>
      </c>
      <c r="J5" s="48" t="s">
        <v>21</v>
      </c>
      <c r="K5" s="3">
        <v>-17</v>
      </c>
      <c r="L5" s="3">
        <v>104</v>
      </c>
      <c r="M5" s="3">
        <v>-5</v>
      </c>
      <c r="N5" s="3">
        <f>34+29+25</f>
        <v>88</v>
      </c>
      <c r="O5" s="3">
        <v>29</v>
      </c>
      <c r="P5" s="3"/>
      <c r="Q5" s="3"/>
      <c r="R5" s="3"/>
      <c r="S5" s="10"/>
      <c r="T5" s="10"/>
      <c r="U5" s="25">
        <f t="shared" ref="U5:U21" si="1">SUM(K5:T5)</f>
        <v>199</v>
      </c>
      <c r="X5">
        <f t="shared" ca="1" si="0"/>
        <v>0.98841896854602151</v>
      </c>
      <c r="Y5" t="s">
        <v>8</v>
      </c>
      <c r="Z5" s="266"/>
      <c r="AA5" s="266"/>
    </row>
    <row r="6" spans="1:27" ht="20.100000000000001" customHeight="1" thickBot="1" x14ac:dyDescent="0.3">
      <c r="A6" s="46">
        <v>3</v>
      </c>
      <c r="B6" s="43" t="s">
        <v>21</v>
      </c>
      <c r="C6" s="43" t="s">
        <v>12</v>
      </c>
      <c r="D6" s="43" t="s">
        <v>20</v>
      </c>
      <c r="E6" s="43"/>
      <c r="F6" s="263"/>
      <c r="G6" s="264"/>
      <c r="I6" s="49">
        <v>2</v>
      </c>
      <c r="J6" s="47" t="s">
        <v>8</v>
      </c>
      <c r="K6" s="2">
        <v>-3</v>
      </c>
      <c r="L6" s="2">
        <v>191</v>
      </c>
      <c r="M6" s="2">
        <v>0</v>
      </c>
      <c r="N6" s="2">
        <v>-7</v>
      </c>
      <c r="O6" s="2">
        <v>-3</v>
      </c>
      <c r="P6" s="2"/>
      <c r="Q6" s="2"/>
      <c r="R6" s="2"/>
      <c r="S6" s="7"/>
      <c r="T6" s="7"/>
      <c r="U6" s="8">
        <f t="shared" si="1"/>
        <v>178</v>
      </c>
      <c r="X6">
        <f t="shared" ca="1" si="0"/>
        <v>0.13753581953034399</v>
      </c>
      <c r="Y6" t="s">
        <v>9</v>
      </c>
      <c r="Z6" s="266"/>
      <c r="AA6" s="266"/>
    </row>
    <row r="7" spans="1:27" ht="20.100000000000001" customHeight="1" thickBot="1" x14ac:dyDescent="0.3">
      <c r="A7" s="46">
        <v>4</v>
      </c>
      <c r="B7" s="43" t="s">
        <v>9</v>
      </c>
      <c r="C7" s="43" t="s">
        <v>17</v>
      </c>
      <c r="D7" s="43" t="s">
        <v>2</v>
      </c>
      <c r="E7" s="43"/>
      <c r="F7" s="263"/>
      <c r="G7" s="264"/>
      <c r="I7" s="49">
        <v>3</v>
      </c>
      <c r="J7" s="47" t="s">
        <v>3</v>
      </c>
      <c r="K7" s="2">
        <v>-6</v>
      </c>
      <c r="L7" s="2">
        <v>-51</v>
      </c>
      <c r="M7" s="2">
        <f>28+9+57</f>
        <v>94</v>
      </c>
      <c r="N7" s="2">
        <v>9</v>
      </c>
      <c r="O7" s="2">
        <v>35</v>
      </c>
      <c r="P7" s="2"/>
      <c r="Q7" s="2"/>
      <c r="R7" s="2"/>
      <c r="S7" s="7"/>
      <c r="T7" s="7"/>
      <c r="U7" s="8">
        <f t="shared" si="1"/>
        <v>81</v>
      </c>
      <c r="X7">
        <f t="shared" ca="1" si="0"/>
        <v>4.6070701200549902E-2</v>
      </c>
      <c r="Y7" t="s">
        <v>43</v>
      </c>
    </row>
    <row r="8" spans="1:27" ht="20.100000000000001" customHeight="1" thickBot="1" x14ac:dyDescent="0.3">
      <c r="A8" s="5">
        <v>1</v>
      </c>
      <c r="B8" s="15" t="s">
        <v>12</v>
      </c>
      <c r="C8" s="16" t="s">
        <v>44</v>
      </c>
      <c r="D8" s="17" t="s">
        <v>21</v>
      </c>
      <c r="E8" s="17" t="s">
        <v>3</v>
      </c>
      <c r="F8" s="265"/>
      <c r="G8" s="258" t="s">
        <v>29</v>
      </c>
      <c r="I8" s="49">
        <v>4</v>
      </c>
      <c r="J8" s="47" t="s">
        <v>6</v>
      </c>
      <c r="K8" s="2">
        <v>-7</v>
      </c>
      <c r="L8" s="50">
        <f>-AVERAGE(5,1,12,14,31,26,41,51,146)</f>
        <v>-36.333333333333336</v>
      </c>
      <c r="M8" s="2">
        <f>36+4+8</f>
        <v>48</v>
      </c>
      <c r="N8" s="2">
        <v>-34</v>
      </c>
      <c r="O8" s="2">
        <v>68</v>
      </c>
      <c r="P8" s="2"/>
      <c r="Q8" s="2"/>
      <c r="R8" s="2"/>
      <c r="S8" s="7"/>
      <c r="T8" s="7"/>
      <c r="U8" s="51">
        <f t="shared" si="1"/>
        <v>38.666666666666664</v>
      </c>
      <c r="X8">
        <f t="shared" ca="1" si="0"/>
        <v>0.97096133887994229</v>
      </c>
      <c r="Y8" t="s">
        <v>6</v>
      </c>
    </row>
    <row r="9" spans="1:27" ht="20.100000000000001" customHeight="1" thickBot="1" x14ac:dyDescent="0.3">
      <c r="A9" s="6">
        <v>2</v>
      </c>
      <c r="B9" s="15" t="s">
        <v>23</v>
      </c>
      <c r="C9" s="17" t="s">
        <v>9</v>
      </c>
      <c r="D9" s="17" t="s">
        <v>2</v>
      </c>
      <c r="E9" s="17" t="s">
        <v>17</v>
      </c>
      <c r="F9" s="231"/>
      <c r="G9" s="258"/>
      <c r="I9" s="49">
        <v>5</v>
      </c>
      <c r="J9" s="47" t="s">
        <v>18</v>
      </c>
      <c r="K9" s="2">
        <v>-7</v>
      </c>
      <c r="L9" s="50">
        <f>-AVERAGE(5,1,12,14,31,26,41,51,146)</f>
        <v>-36.333333333333336</v>
      </c>
      <c r="M9" s="2">
        <v>50</v>
      </c>
      <c r="N9" s="2">
        <v>-29</v>
      </c>
      <c r="O9" s="2">
        <v>-2</v>
      </c>
      <c r="P9" s="2"/>
      <c r="Q9" s="2"/>
      <c r="R9" s="2"/>
      <c r="S9" s="7"/>
      <c r="T9" s="7"/>
      <c r="U9" s="51">
        <f t="shared" si="1"/>
        <v>-24.333333333333336</v>
      </c>
      <c r="X9">
        <f t="shared" ca="1" si="0"/>
        <v>0.85274926576771526</v>
      </c>
      <c r="Y9" t="s">
        <v>3</v>
      </c>
    </row>
    <row r="10" spans="1:27" ht="20.100000000000001" customHeight="1" thickBot="1" x14ac:dyDescent="0.3">
      <c r="A10" s="6">
        <v>3</v>
      </c>
      <c r="B10" s="15" t="s">
        <v>4</v>
      </c>
      <c r="C10" s="17" t="s">
        <v>8</v>
      </c>
      <c r="D10" s="17" t="s">
        <v>20</v>
      </c>
      <c r="E10" s="17" t="s">
        <v>19</v>
      </c>
      <c r="F10" s="231"/>
      <c r="G10" s="258"/>
      <c r="I10" s="49">
        <v>6</v>
      </c>
      <c r="J10" s="47" t="s">
        <v>2</v>
      </c>
      <c r="K10" s="2">
        <v>14</v>
      </c>
      <c r="L10" s="2">
        <v>-5</v>
      </c>
      <c r="M10" s="2">
        <v>-28</v>
      </c>
      <c r="N10" s="2">
        <v>-7</v>
      </c>
      <c r="O10" s="2">
        <v>-10</v>
      </c>
      <c r="P10" s="2"/>
      <c r="Q10" s="2"/>
      <c r="R10" s="2"/>
      <c r="S10" s="7"/>
      <c r="T10" s="7"/>
      <c r="U10" s="8">
        <f t="shared" si="1"/>
        <v>-36</v>
      </c>
      <c r="X10">
        <f t="shared" ca="1" si="0"/>
        <v>7.7960934587354092E-2</v>
      </c>
      <c r="Y10" t="s">
        <v>44</v>
      </c>
    </row>
    <row r="11" spans="1:27" ht="20.100000000000001" customHeight="1" thickBot="1" x14ac:dyDescent="0.3">
      <c r="A11" s="6">
        <v>4</v>
      </c>
      <c r="B11" s="15"/>
      <c r="C11" s="17"/>
      <c r="D11" s="17"/>
      <c r="E11" s="17"/>
      <c r="F11" s="231"/>
      <c r="G11" s="258"/>
      <c r="I11" s="49">
        <v>7</v>
      </c>
      <c r="J11" s="47" t="s">
        <v>43</v>
      </c>
      <c r="K11" s="2">
        <v>-7</v>
      </c>
      <c r="L11" s="50">
        <f>-AVERAGE(5,1,12,14,31,26,41,51,146)</f>
        <v>-36.333333333333336</v>
      </c>
      <c r="M11" s="2">
        <v>-9</v>
      </c>
      <c r="N11" s="2">
        <v>-25</v>
      </c>
      <c r="O11" s="2">
        <f>SUM41+16+13</f>
        <v>29</v>
      </c>
      <c r="P11" s="2"/>
      <c r="Q11" s="2"/>
      <c r="R11" s="2"/>
      <c r="S11" s="7"/>
      <c r="T11" s="7"/>
      <c r="U11" s="51">
        <f t="shared" si="1"/>
        <v>-48.333333333333343</v>
      </c>
      <c r="X11">
        <f t="shared" ca="1" si="0"/>
        <v>0.5833440252344203</v>
      </c>
      <c r="Y11" t="s">
        <v>12</v>
      </c>
    </row>
    <row r="12" spans="1:27" ht="20.100000000000001" customHeight="1" thickBot="1" x14ac:dyDescent="0.3">
      <c r="A12" s="11">
        <v>1</v>
      </c>
      <c r="B12" s="18" t="s">
        <v>3</v>
      </c>
      <c r="C12" s="19" t="s">
        <v>43</v>
      </c>
      <c r="D12" s="18" t="s">
        <v>9</v>
      </c>
      <c r="E12" s="18" t="s">
        <v>2</v>
      </c>
      <c r="F12" s="244"/>
      <c r="G12" s="259" t="s">
        <v>30</v>
      </c>
      <c r="I12" s="49">
        <v>8</v>
      </c>
      <c r="J12" s="47" t="s">
        <v>23</v>
      </c>
      <c r="K12" s="50">
        <f>-AVERAGE(6,7,1,8,17,3,6)</f>
        <v>-6.8571428571428568</v>
      </c>
      <c r="L12" s="2">
        <v>-1</v>
      </c>
      <c r="M12" s="2">
        <v>-8</v>
      </c>
      <c r="N12" s="2">
        <v>-29</v>
      </c>
      <c r="O12" s="2">
        <v>-11</v>
      </c>
      <c r="P12" s="2"/>
      <c r="Q12" s="2"/>
      <c r="R12" s="2"/>
      <c r="S12" s="7"/>
      <c r="T12" s="7"/>
      <c r="U12" s="51">
        <f t="shared" si="1"/>
        <v>-55.857142857142861</v>
      </c>
      <c r="X12">
        <f t="shared" ca="1" si="0"/>
        <v>0.5471573614941726</v>
      </c>
      <c r="Y12" t="s">
        <v>23</v>
      </c>
    </row>
    <row r="13" spans="1:27" ht="20.100000000000001" customHeight="1" thickBot="1" x14ac:dyDescent="0.3">
      <c r="A13" s="12">
        <v>2</v>
      </c>
      <c r="B13" s="14" t="s">
        <v>21</v>
      </c>
      <c r="C13" s="14" t="s">
        <v>44</v>
      </c>
      <c r="D13" s="14" t="s">
        <v>18</v>
      </c>
      <c r="E13" s="14" t="s">
        <v>4</v>
      </c>
      <c r="F13" s="244"/>
      <c r="G13" s="259"/>
      <c r="I13" s="49">
        <v>9</v>
      </c>
      <c r="J13" s="20" t="s">
        <v>19</v>
      </c>
      <c r="K13" s="2">
        <v>-7</v>
      </c>
      <c r="L13" s="2">
        <v>-14</v>
      </c>
      <c r="M13" s="2">
        <v>-4</v>
      </c>
      <c r="N13" s="2">
        <v>-16</v>
      </c>
      <c r="O13" s="2">
        <v>-22</v>
      </c>
      <c r="P13" s="2"/>
      <c r="Q13" s="2"/>
      <c r="R13" s="2"/>
      <c r="S13" s="7"/>
      <c r="T13" s="7"/>
      <c r="U13" s="8">
        <f t="shared" si="1"/>
        <v>-63</v>
      </c>
      <c r="X13">
        <f t="shared" ca="1" si="0"/>
        <v>0.1816946135157379</v>
      </c>
      <c r="Y13" t="s">
        <v>4</v>
      </c>
    </row>
    <row r="14" spans="1:27" ht="20.100000000000001" customHeight="1" thickBot="1" x14ac:dyDescent="0.3">
      <c r="A14" s="12">
        <v>3</v>
      </c>
      <c r="B14" s="13" t="s">
        <v>23</v>
      </c>
      <c r="C14" s="14" t="s">
        <v>6</v>
      </c>
      <c r="D14" s="14" t="s">
        <v>17</v>
      </c>
      <c r="E14" s="14" t="s">
        <v>19</v>
      </c>
      <c r="F14" s="244"/>
      <c r="G14" s="259"/>
      <c r="I14" s="49">
        <v>10</v>
      </c>
      <c r="J14" s="20" t="s">
        <v>17</v>
      </c>
      <c r="K14" s="2">
        <v>-6</v>
      </c>
      <c r="L14" s="2">
        <f>5+1+26</f>
        <v>32</v>
      </c>
      <c r="M14" s="2">
        <v>-34</v>
      </c>
      <c r="N14" s="2">
        <v>-4</v>
      </c>
      <c r="O14" s="2">
        <v>-58</v>
      </c>
      <c r="P14" s="2"/>
      <c r="Q14" s="2"/>
      <c r="R14" s="2"/>
      <c r="S14" s="7"/>
      <c r="T14" s="7"/>
      <c r="U14" s="8">
        <f t="shared" si="1"/>
        <v>-70</v>
      </c>
      <c r="X14">
        <f t="shared" ca="1" si="0"/>
        <v>0.64227988408819869</v>
      </c>
      <c r="Y14" t="s">
        <v>2</v>
      </c>
    </row>
    <row r="15" spans="1:27" ht="20.100000000000001" customHeight="1" thickBot="1" x14ac:dyDescent="0.3">
      <c r="A15" s="12">
        <v>4</v>
      </c>
      <c r="B15" s="13" t="s">
        <v>20</v>
      </c>
      <c r="C15" s="14" t="s">
        <v>12</v>
      </c>
      <c r="D15" s="14" t="s">
        <v>8</v>
      </c>
      <c r="E15" s="14"/>
      <c r="F15" s="244"/>
      <c r="G15" s="259"/>
      <c r="I15" s="49">
        <v>11</v>
      </c>
      <c r="J15" s="47" t="s">
        <v>44</v>
      </c>
      <c r="K15" s="2">
        <v>-1</v>
      </c>
      <c r="L15" s="2">
        <v>-12</v>
      </c>
      <c r="M15" s="2">
        <v>-19</v>
      </c>
      <c r="N15" s="2">
        <v>-5</v>
      </c>
      <c r="O15" s="2">
        <v>-46</v>
      </c>
      <c r="P15" s="2"/>
      <c r="Q15" s="2"/>
      <c r="R15" s="2"/>
      <c r="S15" s="7"/>
      <c r="T15" s="7"/>
      <c r="U15" s="8">
        <f t="shared" si="1"/>
        <v>-83</v>
      </c>
      <c r="X15">
        <f t="shared" ca="1" si="0"/>
        <v>0.33851772873453745</v>
      </c>
      <c r="Y15" t="s">
        <v>20</v>
      </c>
    </row>
    <row r="16" spans="1:27" ht="20.100000000000001" customHeight="1" thickBot="1" x14ac:dyDescent="0.3">
      <c r="A16" s="5">
        <v>1</v>
      </c>
      <c r="B16" s="15" t="s">
        <v>20</v>
      </c>
      <c r="C16" s="17" t="s">
        <v>8</v>
      </c>
      <c r="D16" s="17" t="s">
        <v>4</v>
      </c>
      <c r="E16" s="17" t="s">
        <v>18</v>
      </c>
      <c r="F16" s="231"/>
      <c r="G16" s="258" t="s">
        <v>31</v>
      </c>
      <c r="I16" s="49">
        <v>12</v>
      </c>
      <c r="J16" s="47" t="s">
        <v>12</v>
      </c>
      <c r="K16" s="2">
        <v>-7</v>
      </c>
      <c r="L16" s="2">
        <v>-41</v>
      </c>
      <c r="M16" s="2">
        <v>0</v>
      </c>
      <c r="N16" s="2">
        <f>-16-1-7</f>
        <v>-24</v>
      </c>
      <c r="O16" s="2">
        <v>-16</v>
      </c>
      <c r="P16" s="2"/>
      <c r="Q16" s="2"/>
      <c r="R16" s="2"/>
      <c r="S16" s="7"/>
      <c r="T16" s="7"/>
      <c r="U16" s="8">
        <f t="shared" si="1"/>
        <v>-88</v>
      </c>
      <c r="X16">
        <f t="shared" ca="1" si="0"/>
        <v>0.21796810910041986</v>
      </c>
      <c r="Y16" t="s">
        <v>18</v>
      </c>
    </row>
    <row r="17" spans="1:25" ht="20.100000000000001" customHeight="1" thickBot="1" x14ac:dyDescent="0.3">
      <c r="A17" s="6">
        <v>2</v>
      </c>
      <c r="B17" s="15" t="s">
        <v>19</v>
      </c>
      <c r="C17" s="17" t="s">
        <v>12</v>
      </c>
      <c r="D17" s="17" t="s">
        <v>2</v>
      </c>
      <c r="E17" s="17" t="s">
        <v>9</v>
      </c>
      <c r="F17" s="231"/>
      <c r="G17" s="258"/>
      <c r="I17" s="49">
        <v>13</v>
      </c>
      <c r="J17" s="47" t="s">
        <v>9</v>
      </c>
      <c r="K17" s="2">
        <v>-8</v>
      </c>
      <c r="L17" s="2">
        <v>-26</v>
      </c>
      <c r="M17" s="2">
        <v>-57</v>
      </c>
      <c r="N17" s="2">
        <v>-1</v>
      </c>
      <c r="O17" s="2">
        <v>-13</v>
      </c>
      <c r="P17" s="2"/>
      <c r="Q17" s="2"/>
      <c r="R17" s="2"/>
      <c r="S17" s="7"/>
      <c r="T17" s="7"/>
      <c r="U17" s="8">
        <f t="shared" si="1"/>
        <v>-105</v>
      </c>
      <c r="X17">
        <f t="shared" ca="1" si="0"/>
        <v>0.47799023421310871</v>
      </c>
      <c r="Y17" t="s">
        <v>19</v>
      </c>
    </row>
    <row r="18" spans="1:25" ht="20.100000000000001" customHeight="1" thickBot="1" x14ac:dyDescent="0.3">
      <c r="A18" s="6">
        <v>3</v>
      </c>
      <c r="B18" s="15" t="s">
        <v>23</v>
      </c>
      <c r="C18" s="17" t="s">
        <v>21</v>
      </c>
      <c r="D18" s="17" t="s">
        <v>6</v>
      </c>
      <c r="E18" s="17" t="s">
        <v>43</v>
      </c>
      <c r="F18" s="231"/>
      <c r="G18" s="258"/>
      <c r="I18" s="49">
        <v>14</v>
      </c>
      <c r="J18" s="47" t="s">
        <v>20</v>
      </c>
      <c r="K18" s="2">
        <v>24</v>
      </c>
      <c r="L18" s="2">
        <v>-146</v>
      </c>
      <c r="M18" s="2">
        <v>0</v>
      </c>
      <c r="N18" s="2">
        <v>-11</v>
      </c>
      <c r="O18" s="2">
        <v>-16</v>
      </c>
      <c r="P18" s="2"/>
      <c r="Q18" s="2"/>
      <c r="R18" s="2"/>
      <c r="S18" s="7"/>
      <c r="T18" s="7"/>
      <c r="U18" s="8">
        <f t="shared" si="1"/>
        <v>-149</v>
      </c>
      <c r="X18">
        <f t="shared" ca="1" si="0"/>
        <v>0.10850073676760275</v>
      </c>
      <c r="Y18" t="s">
        <v>17</v>
      </c>
    </row>
    <row r="19" spans="1:25" ht="20.100000000000001" customHeight="1" thickBot="1" x14ac:dyDescent="0.3">
      <c r="A19" s="6">
        <v>4</v>
      </c>
      <c r="B19" s="15" t="s">
        <v>3</v>
      </c>
      <c r="C19" s="17" t="s">
        <v>17</v>
      </c>
      <c r="D19" s="17" t="s">
        <v>44</v>
      </c>
      <c r="E19" s="17"/>
      <c r="F19" s="231"/>
      <c r="G19" s="258"/>
      <c r="I19" s="49">
        <v>15</v>
      </c>
      <c r="J19" s="47" t="s">
        <v>4</v>
      </c>
      <c r="K19" s="2">
        <v>10</v>
      </c>
      <c r="L19" s="2">
        <v>-31</v>
      </c>
      <c r="M19" s="2">
        <v>-26</v>
      </c>
      <c r="N19" s="2">
        <v>-195</v>
      </c>
      <c r="O19" s="2">
        <v>-10</v>
      </c>
      <c r="P19" s="2"/>
      <c r="Q19" s="2"/>
      <c r="R19" s="2"/>
      <c r="S19" s="7"/>
      <c r="T19" s="7"/>
      <c r="U19" s="8">
        <f t="shared" si="1"/>
        <v>-252</v>
      </c>
    </row>
    <row r="20" spans="1:25" ht="20.100000000000001" customHeight="1" thickBot="1" x14ac:dyDescent="0.3">
      <c r="A20" s="11">
        <v>1</v>
      </c>
      <c r="B20" s="18" t="s">
        <v>21</v>
      </c>
      <c r="C20" s="19" t="s">
        <v>20</v>
      </c>
      <c r="D20" s="18" t="s">
        <v>23</v>
      </c>
      <c r="E20" s="18" t="s">
        <v>18</v>
      </c>
      <c r="F20" s="260"/>
      <c r="G20" s="259" t="s">
        <v>32</v>
      </c>
      <c r="I20" s="49">
        <v>16</v>
      </c>
      <c r="J20" s="29"/>
      <c r="K20" s="2">
        <v>-1000</v>
      </c>
      <c r="L20" s="2"/>
      <c r="M20" s="2"/>
      <c r="N20" s="2"/>
      <c r="O20" s="2"/>
      <c r="P20" s="2"/>
      <c r="Q20" s="2"/>
      <c r="R20" s="2"/>
      <c r="S20" s="7"/>
      <c r="T20" s="7"/>
      <c r="U20" s="8">
        <f t="shared" si="1"/>
        <v>-1000</v>
      </c>
    </row>
    <row r="21" spans="1:25" ht="20.100000000000001" customHeight="1" thickBot="1" x14ac:dyDescent="0.3">
      <c r="A21" s="12">
        <v>2</v>
      </c>
      <c r="B21" s="14" t="s">
        <v>8</v>
      </c>
      <c r="C21" s="14" t="s">
        <v>3</v>
      </c>
      <c r="D21" s="14" t="s">
        <v>4</v>
      </c>
      <c r="E21" s="14" t="s">
        <v>19</v>
      </c>
      <c r="F21" s="260"/>
      <c r="G21" s="259"/>
      <c r="I21" s="49">
        <v>17</v>
      </c>
      <c r="J21" s="28"/>
      <c r="K21" s="22">
        <v>-1000</v>
      </c>
      <c r="L21" s="22"/>
      <c r="M21" s="22"/>
      <c r="N21" s="22"/>
      <c r="O21" s="22"/>
      <c r="P21" s="22"/>
      <c r="Q21" s="22"/>
      <c r="R21" s="22"/>
      <c r="S21" s="23"/>
      <c r="T21" s="23"/>
      <c r="U21" s="8">
        <f t="shared" si="1"/>
        <v>-1000</v>
      </c>
    </row>
    <row r="22" spans="1:25" ht="20.100000000000001" customHeight="1" thickBot="1" x14ac:dyDescent="0.3">
      <c r="A22" s="12">
        <v>3</v>
      </c>
      <c r="B22" s="13" t="s">
        <v>9</v>
      </c>
      <c r="C22" s="14" t="s">
        <v>44</v>
      </c>
      <c r="D22" s="14" t="s">
        <v>12</v>
      </c>
      <c r="E22" s="14" t="s">
        <v>43</v>
      </c>
      <c r="F22" s="260"/>
      <c r="G22" s="259"/>
      <c r="H22" s="9"/>
      <c r="I22" s="9"/>
    </row>
    <row r="23" spans="1:25" ht="20.100000000000001" customHeight="1" thickBot="1" x14ac:dyDescent="0.3">
      <c r="A23" s="12">
        <v>4</v>
      </c>
      <c r="B23" s="13" t="s">
        <v>17</v>
      </c>
      <c r="C23" s="14" t="s">
        <v>2</v>
      </c>
      <c r="D23" s="14" t="s">
        <v>6</v>
      </c>
      <c r="E23" s="14"/>
      <c r="F23" s="260"/>
      <c r="G23" s="259"/>
      <c r="H23" s="9"/>
      <c r="I23" s="9"/>
      <c r="J23" s="246" t="s">
        <v>66</v>
      </c>
      <c r="K23" s="247"/>
      <c r="L23" s="247"/>
      <c r="M23" s="247"/>
      <c r="N23" s="247"/>
      <c r="O23" s="247"/>
      <c r="P23" s="247"/>
      <c r="Q23" s="247"/>
      <c r="R23" s="248"/>
    </row>
    <row r="24" spans="1:25" ht="20.100000000000001" customHeight="1" x14ac:dyDescent="0.25">
      <c r="A24" s="5">
        <v>1</v>
      </c>
      <c r="B24" s="15"/>
      <c r="C24" s="17"/>
      <c r="D24" s="17"/>
      <c r="E24" s="17"/>
      <c r="F24" s="261"/>
      <c r="G24" s="258" t="s">
        <v>33</v>
      </c>
      <c r="H24" s="9"/>
      <c r="I24" s="9"/>
      <c r="J24" s="249"/>
      <c r="K24" s="250"/>
      <c r="L24" s="250"/>
      <c r="M24" s="250"/>
      <c r="N24" s="250"/>
      <c r="O24" s="250"/>
      <c r="P24" s="250"/>
      <c r="Q24" s="250"/>
      <c r="R24" s="251"/>
      <c r="S24" s="9"/>
      <c r="U24" s="9"/>
    </row>
    <row r="25" spans="1:25" ht="20.100000000000001" customHeight="1" thickBot="1" x14ac:dyDescent="0.3">
      <c r="A25" s="6">
        <v>2</v>
      </c>
      <c r="B25" s="15"/>
      <c r="C25" s="17"/>
      <c r="D25" s="17"/>
      <c r="E25" s="17"/>
      <c r="F25" s="261"/>
      <c r="G25" s="258"/>
      <c r="H25" s="9"/>
      <c r="I25" s="9"/>
      <c r="J25" s="32"/>
      <c r="K25" s="33"/>
      <c r="L25" s="33"/>
      <c r="M25" s="33"/>
      <c r="N25" s="33"/>
      <c r="O25" s="33"/>
      <c r="P25" s="33"/>
      <c r="Q25" s="33"/>
      <c r="R25" s="34"/>
    </row>
    <row r="26" spans="1:25" ht="20.100000000000001" customHeight="1" x14ac:dyDescent="0.25">
      <c r="A26" s="6">
        <v>3</v>
      </c>
      <c r="B26" s="15"/>
      <c r="C26" s="17"/>
      <c r="D26" s="17"/>
      <c r="E26" s="17"/>
      <c r="F26" s="261"/>
      <c r="G26" s="258"/>
      <c r="H26" s="9"/>
      <c r="I26" s="9"/>
      <c r="J26" s="32"/>
      <c r="K26" s="33"/>
      <c r="L26" s="33"/>
      <c r="M26" s="238" t="str">
        <f>$J$5</f>
        <v>Sune</v>
      </c>
      <c r="N26" s="239"/>
      <c r="O26" s="240"/>
      <c r="P26" s="33"/>
      <c r="Q26" s="33"/>
      <c r="R26" s="34"/>
    </row>
    <row r="27" spans="1:25" ht="20.100000000000001" customHeight="1" thickBot="1" x14ac:dyDescent="0.3">
      <c r="A27" s="6">
        <v>4</v>
      </c>
      <c r="B27" s="15"/>
      <c r="C27" s="17"/>
      <c r="D27" s="17"/>
      <c r="E27" s="17"/>
      <c r="F27" s="261"/>
      <c r="G27" s="258"/>
      <c r="H27" s="9"/>
      <c r="I27" s="9"/>
      <c r="J27" s="32"/>
      <c r="K27" s="33"/>
      <c r="L27" s="33"/>
      <c r="M27" s="241"/>
      <c r="N27" s="242"/>
      <c r="O27" s="243"/>
      <c r="P27" s="33"/>
      <c r="Q27" s="33"/>
      <c r="R27" s="34"/>
    </row>
    <row r="28" spans="1:25" ht="20.100000000000001" customHeight="1" x14ac:dyDescent="0.25">
      <c r="A28" s="11">
        <v>1</v>
      </c>
      <c r="B28" s="18"/>
      <c r="C28" s="19"/>
      <c r="D28" s="18"/>
      <c r="E28" s="18"/>
      <c r="F28" s="260"/>
      <c r="G28" s="259" t="s">
        <v>34</v>
      </c>
      <c r="H28" s="9"/>
      <c r="I28" s="9"/>
      <c r="J28" s="232" t="str">
        <f>$J$6</f>
        <v>Per</v>
      </c>
      <c r="K28" s="233"/>
      <c r="L28" s="234"/>
      <c r="M28" s="33"/>
      <c r="N28" s="33"/>
      <c r="O28" s="33"/>
      <c r="P28" s="252" t="str">
        <f>$J$7</f>
        <v>Skipper</v>
      </c>
      <c r="Q28" s="253"/>
      <c r="R28" s="254"/>
    </row>
    <row r="29" spans="1:25" ht="20.100000000000001" customHeight="1" thickBot="1" x14ac:dyDescent="0.3">
      <c r="A29" s="12">
        <v>2</v>
      </c>
      <c r="B29" s="13"/>
      <c r="C29" s="14"/>
      <c r="D29" s="14"/>
      <c r="E29" s="14"/>
      <c r="F29" s="260"/>
      <c r="G29" s="259"/>
      <c r="H29" s="9"/>
      <c r="I29" s="9"/>
      <c r="J29" s="235"/>
      <c r="K29" s="236"/>
      <c r="L29" s="237"/>
      <c r="M29" s="35"/>
      <c r="N29" s="35"/>
      <c r="O29" s="35"/>
      <c r="P29" s="255"/>
      <c r="Q29" s="256"/>
      <c r="R29" s="257"/>
    </row>
    <row r="30" spans="1:25" ht="20.100000000000001" customHeight="1" x14ac:dyDescent="0.25">
      <c r="A30" s="12">
        <v>3</v>
      </c>
      <c r="B30" s="13"/>
      <c r="C30" s="14"/>
      <c r="D30" s="14"/>
      <c r="E30" s="14"/>
      <c r="F30" s="260"/>
      <c r="G30" s="259"/>
      <c r="H30" s="9"/>
      <c r="I30" s="9"/>
    </row>
    <row r="31" spans="1:25" ht="20.100000000000001" customHeight="1" thickBot="1" x14ac:dyDescent="0.3">
      <c r="A31" s="12">
        <v>4</v>
      </c>
      <c r="B31" s="13"/>
      <c r="C31" s="14"/>
      <c r="D31" s="14"/>
      <c r="E31" s="14"/>
      <c r="F31" s="260"/>
      <c r="G31" s="259"/>
      <c r="H31" s="9"/>
      <c r="I31" s="9"/>
    </row>
    <row r="32" spans="1:25" ht="20.100000000000001" customHeight="1" x14ac:dyDescent="0.25">
      <c r="A32" s="5">
        <v>1</v>
      </c>
      <c r="F32" s="231"/>
      <c r="G32" s="258" t="s">
        <v>35</v>
      </c>
      <c r="H32" s="9"/>
      <c r="I32" s="9"/>
    </row>
    <row r="33" spans="1:9" ht="20.100000000000001" customHeight="1" x14ac:dyDescent="0.25">
      <c r="A33" s="6">
        <v>2</v>
      </c>
      <c r="F33" s="231"/>
      <c r="G33" s="258"/>
      <c r="H33" s="9"/>
      <c r="I33" s="9"/>
    </row>
    <row r="34" spans="1:9" ht="20.100000000000001" customHeight="1" x14ac:dyDescent="0.25">
      <c r="A34" s="6">
        <v>3</v>
      </c>
      <c r="F34" s="231"/>
      <c r="G34" s="258"/>
      <c r="H34" s="9"/>
      <c r="I34" s="9"/>
    </row>
    <row r="35" spans="1:9" ht="20.100000000000001" customHeight="1" thickBot="1" x14ac:dyDescent="0.3">
      <c r="A35" s="6">
        <v>4</v>
      </c>
      <c r="F35" s="231"/>
      <c r="G35" s="258"/>
      <c r="H35" s="9"/>
      <c r="I35" s="9"/>
    </row>
    <row r="36" spans="1:9" ht="20.100000000000001" customHeight="1" x14ac:dyDescent="0.25">
      <c r="A36" s="11">
        <v>1</v>
      </c>
      <c r="B36" s="14"/>
      <c r="C36" s="14"/>
      <c r="D36" s="14"/>
      <c r="E36" s="14"/>
      <c r="F36" s="244"/>
      <c r="G36" s="259" t="s">
        <v>36</v>
      </c>
      <c r="H36" s="9"/>
      <c r="I36" s="9"/>
    </row>
    <row r="37" spans="1:9" ht="20.100000000000001" customHeight="1" x14ac:dyDescent="0.25">
      <c r="A37" s="12">
        <v>2</v>
      </c>
      <c r="B37" s="13"/>
      <c r="C37" s="14"/>
      <c r="D37" s="14"/>
      <c r="E37" s="31"/>
      <c r="F37" s="244"/>
      <c r="G37" s="259"/>
    </row>
    <row r="38" spans="1:9" ht="20.100000000000001" customHeight="1" x14ac:dyDescent="0.25">
      <c r="A38" s="12">
        <v>3</v>
      </c>
      <c r="B38" s="13"/>
      <c r="C38" s="14"/>
      <c r="D38" s="14"/>
      <c r="E38" s="14"/>
      <c r="F38" s="244"/>
      <c r="G38" s="259"/>
    </row>
    <row r="39" spans="1:9" ht="20.100000000000001" customHeight="1" thickBot="1" x14ac:dyDescent="0.3">
      <c r="A39" s="12">
        <v>4</v>
      </c>
      <c r="B39" s="13"/>
      <c r="C39" s="14"/>
      <c r="D39" s="14"/>
      <c r="E39" s="14"/>
      <c r="F39" s="244"/>
      <c r="G39" s="259"/>
    </row>
    <row r="40" spans="1:9" ht="20.100000000000001" customHeight="1" x14ac:dyDescent="0.25">
      <c r="A40" s="5">
        <v>1</v>
      </c>
      <c r="B40" s="17"/>
      <c r="C40" s="17"/>
      <c r="D40" s="17"/>
      <c r="E40" s="17"/>
      <c r="F40" s="231"/>
      <c r="G40" s="258" t="s">
        <v>38</v>
      </c>
    </row>
    <row r="41" spans="1:9" ht="20.100000000000001" customHeight="1" x14ac:dyDescent="0.25">
      <c r="A41" s="6">
        <v>2</v>
      </c>
      <c r="B41" s="15"/>
      <c r="C41" s="17"/>
      <c r="D41" s="17"/>
      <c r="E41" s="30"/>
      <c r="F41" s="231"/>
      <c r="G41" s="258"/>
    </row>
    <row r="42" spans="1:9" ht="20.100000000000001" customHeight="1" x14ac:dyDescent="0.25">
      <c r="A42" s="6">
        <v>3</v>
      </c>
      <c r="B42" s="15"/>
      <c r="C42" s="17"/>
      <c r="D42" s="17"/>
      <c r="E42" s="17"/>
      <c r="F42" s="231"/>
      <c r="G42" s="258"/>
    </row>
    <row r="43" spans="1:9" ht="20.100000000000001" customHeight="1" x14ac:dyDescent="0.25">
      <c r="A43" s="6">
        <v>4</v>
      </c>
      <c r="B43" s="15"/>
      <c r="C43" s="17"/>
      <c r="D43" s="17"/>
      <c r="E43" s="17"/>
      <c r="F43" s="231"/>
      <c r="G43" s="258"/>
    </row>
    <row r="44" spans="1:9" ht="19.5" customHeight="1" x14ac:dyDescent="0.25"/>
    <row r="45" spans="1:9" ht="20.100000000000001" customHeight="1" x14ac:dyDescent="0.25">
      <c r="A45" t="s">
        <v>13</v>
      </c>
    </row>
    <row r="46" spans="1:9" ht="20.100000000000001" customHeight="1" x14ac:dyDescent="0.25">
      <c r="A46" t="s">
        <v>42</v>
      </c>
    </row>
    <row r="47" spans="1:9" ht="20.100000000000001" customHeight="1" x14ac:dyDescent="0.25">
      <c r="A47" s="37" t="s">
        <v>15</v>
      </c>
    </row>
    <row r="48" spans="1:9" ht="20.100000000000001" customHeight="1" x14ac:dyDescent="0.25">
      <c r="A48" s="37" t="s">
        <v>16</v>
      </c>
    </row>
  </sheetData>
  <sortState xmlns:xlrd2="http://schemas.microsoft.com/office/spreadsheetml/2017/richdata2" ref="J5:U21">
    <sortCondition descending="1" ref="U5"/>
  </sortState>
  <mergeCells count="26">
    <mergeCell ref="F24:F27"/>
    <mergeCell ref="G24:G27"/>
    <mergeCell ref="M26:O27"/>
    <mergeCell ref="K3:T3"/>
    <mergeCell ref="F4:F7"/>
    <mergeCell ref="G4:G7"/>
    <mergeCell ref="F8:F11"/>
    <mergeCell ref="G8:G11"/>
    <mergeCell ref="F12:F15"/>
    <mergeCell ref="G12:G15"/>
    <mergeCell ref="F36:F39"/>
    <mergeCell ref="G36:G39"/>
    <mergeCell ref="F40:F43"/>
    <mergeCell ref="G40:G43"/>
    <mergeCell ref="Z3:AA6"/>
    <mergeCell ref="F28:F31"/>
    <mergeCell ref="G28:G31"/>
    <mergeCell ref="J28:L29"/>
    <mergeCell ref="P28:R29"/>
    <mergeCell ref="F32:F35"/>
    <mergeCell ref="G32:G35"/>
    <mergeCell ref="F16:F19"/>
    <mergeCell ref="G16:G19"/>
    <mergeCell ref="F20:F23"/>
    <mergeCell ref="G20:G23"/>
    <mergeCell ref="J23:R24"/>
  </mergeCells>
  <conditionalFormatting sqref="K5:U21">
    <cfRule type="cellIs" dxfId="8" priority="1" stopIfTrue="1" operator="greaterThan">
      <formula>0</formula>
    </cfRule>
    <cfRule type="cellIs" dxfId="7" priority="2" stopIfTrue="1" operator="lessThan">
      <formula>0</formula>
    </cfRule>
    <cfRule type="cellIs" dxfId="6" priority="3" stopIfTrue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pdater">
                <anchor moveWithCells="1">
                  <from>
                    <xdr:col>18</xdr:col>
                    <xdr:colOff>297180</xdr:colOff>
                    <xdr:row>24</xdr:row>
                    <xdr:rowOff>76200</xdr:rowOff>
                  </from>
                  <to>
                    <xdr:col>20</xdr:col>
                    <xdr:colOff>510540</xdr:colOff>
                    <xdr:row>26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6CA1-5A36-4461-825E-CFE8AD852A63}">
  <sheetPr codeName="Ark5"/>
  <dimension ref="A1:AA48"/>
  <sheetViews>
    <sheetView zoomScale="60" zoomScaleNormal="60" workbookViewId="0">
      <selection activeCell="J5" sqref="J5:U23"/>
    </sheetView>
  </sheetViews>
  <sheetFormatPr defaultRowHeight="20.100000000000001" customHeight="1" x14ac:dyDescent="0.25"/>
  <cols>
    <col min="2" max="4" width="13.77734375" customWidth="1"/>
    <col min="5" max="5" width="13.21875" customWidth="1"/>
    <col min="6" max="6" width="10.109375" style="110" bestFit="1" customWidth="1"/>
    <col min="7" max="7" width="9.21875" customWidth="1"/>
    <col min="8" max="8" width="4.77734375" customWidth="1"/>
    <col min="10" max="10" width="11.21875" bestFit="1" customWidth="1"/>
    <col min="19" max="19" width="9.77734375" bestFit="1" customWidth="1"/>
    <col min="23" max="23" width="11.21875" customWidth="1"/>
    <col min="24" max="24" width="12.77734375" customWidth="1"/>
    <col min="25" max="25" width="10.44140625" customWidth="1"/>
    <col min="26" max="27" width="8.77734375" customWidth="1"/>
  </cols>
  <sheetData>
    <row r="1" spans="1:27" ht="20.100000000000001" customHeight="1" x14ac:dyDescent="0.3">
      <c r="A1" s="1" t="s">
        <v>72</v>
      </c>
      <c r="D1" s="36"/>
      <c r="W1" s="37"/>
    </row>
    <row r="3" spans="1:27" ht="20.100000000000001" customHeight="1" thickBot="1" x14ac:dyDescent="0.45">
      <c r="A3" s="9" t="s">
        <v>27</v>
      </c>
      <c r="B3" s="9" t="s">
        <v>0</v>
      </c>
      <c r="C3" s="9" t="s">
        <v>0</v>
      </c>
      <c r="D3" s="9" t="s">
        <v>0</v>
      </c>
      <c r="E3" s="9" t="s">
        <v>0</v>
      </c>
      <c r="F3" s="96" t="s">
        <v>37</v>
      </c>
      <c r="J3" s="275" t="s">
        <v>1</v>
      </c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Z3" s="266" t="s">
        <v>65</v>
      </c>
      <c r="AA3" s="266"/>
    </row>
    <row r="4" spans="1:27" ht="20.100000000000001" customHeight="1" thickBot="1" x14ac:dyDescent="0.3">
      <c r="A4" s="60">
        <v>1</v>
      </c>
      <c r="B4" s="61" t="s">
        <v>18</v>
      </c>
      <c r="C4" s="61" t="s">
        <v>8</v>
      </c>
      <c r="D4" s="61" t="s">
        <v>5</v>
      </c>
      <c r="E4" s="61" t="s">
        <v>20</v>
      </c>
      <c r="F4" s="267" t="s">
        <v>3</v>
      </c>
      <c r="G4" s="269" t="s">
        <v>28</v>
      </c>
      <c r="H4" s="9"/>
      <c r="I4" s="9"/>
      <c r="J4" s="97" t="s">
        <v>10</v>
      </c>
      <c r="K4" s="98" t="s">
        <v>28</v>
      </c>
      <c r="L4" s="98" t="s">
        <v>29</v>
      </c>
      <c r="M4" s="98" t="s">
        <v>30</v>
      </c>
      <c r="N4" s="98" t="s">
        <v>31</v>
      </c>
      <c r="O4" s="98" t="s">
        <v>32</v>
      </c>
      <c r="P4" s="98" t="s">
        <v>33</v>
      </c>
      <c r="Q4" s="98" t="s">
        <v>34</v>
      </c>
      <c r="R4" s="98" t="s">
        <v>35</v>
      </c>
      <c r="S4" s="98" t="s">
        <v>36</v>
      </c>
      <c r="T4" s="98" t="s">
        <v>38</v>
      </c>
      <c r="U4" s="99" t="s">
        <v>11</v>
      </c>
      <c r="X4" t="s">
        <v>63</v>
      </c>
      <c r="Y4" t="s">
        <v>62</v>
      </c>
      <c r="Z4" s="266"/>
      <c r="AA4" s="266"/>
    </row>
    <row r="5" spans="1:27" ht="20.100000000000001" customHeight="1" x14ac:dyDescent="0.25">
      <c r="A5" s="62">
        <v>2</v>
      </c>
      <c r="B5" s="52" t="s">
        <v>75</v>
      </c>
      <c r="C5" s="52" t="s">
        <v>93</v>
      </c>
      <c r="D5" s="52" t="s">
        <v>21</v>
      </c>
      <c r="E5" s="52" t="s">
        <v>9</v>
      </c>
      <c r="F5" s="264"/>
      <c r="G5" s="270"/>
      <c r="I5" s="94" t="s">
        <v>76</v>
      </c>
      <c r="J5" s="101" t="s">
        <v>21</v>
      </c>
      <c r="K5" s="102">
        <v>-13</v>
      </c>
      <c r="L5" s="102">
        <f>59+58+32</f>
        <v>149</v>
      </c>
      <c r="M5" s="102">
        <v>-15</v>
      </c>
      <c r="N5" s="102">
        <f>21+22+47</f>
        <v>90</v>
      </c>
      <c r="O5" s="102">
        <v>-37</v>
      </c>
      <c r="P5" s="102">
        <v>0</v>
      </c>
      <c r="Q5" s="102">
        <f>12+16+5</f>
        <v>33</v>
      </c>
      <c r="R5" s="102">
        <f>26+15+13</f>
        <v>54</v>
      </c>
      <c r="S5" s="102">
        <f>24+51+20</f>
        <v>95</v>
      </c>
      <c r="T5" s="102"/>
      <c r="U5" s="109">
        <f t="shared" ref="U5:U23" si="0">SUM(K5:T5)</f>
        <v>356</v>
      </c>
      <c r="X5">
        <f t="shared" ref="X5:X23" ca="1" si="1">RAND()</f>
        <v>6.2749492452325639E-2</v>
      </c>
      <c r="Y5" t="s">
        <v>18</v>
      </c>
      <c r="Z5" s="266"/>
      <c r="AA5" s="266"/>
    </row>
    <row r="6" spans="1:27" ht="20.100000000000001" customHeight="1" x14ac:dyDescent="0.25">
      <c r="A6" s="62">
        <v>3</v>
      </c>
      <c r="B6" s="52" t="s">
        <v>6</v>
      </c>
      <c r="C6" s="52" t="s">
        <v>2</v>
      </c>
      <c r="D6" s="52" t="s">
        <v>22</v>
      </c>
      <c r="E6" s="52" t="s">
        <v>23</v>
      </c>
      <c r="F6" s="264"/>
      <c r="G6" s="270"/>
      <c r="I6" s="94" t="s">
        <v>77</v>
      </c>
      <c r="J6" s="103" t="s">
        <v>20</v>
      </c>
      <c r="K6" s="2">
        <v>-16</v>
      </c>
      <c r="L6" s="2">
        <f>25+31+13</f>
        <v>69</v>
      </c>
      <c r="M6" s="2">
        <v>-17</v>
      </c>
      <c r="N6" s="2">
        <v>50</v>
      </c>
      <c r="O6" s="2">
        <v>0</v>
      </c>
      <c r="P6" s="2">
        <f>28+50+89</f>
        <v>167</v>
      </c>
      <c r="Q6" s="2">
        <v>-12</v>
      </c>
      <c r="R6" s="2">
        <v>-18</v>
      </c>
      <c r="S6" s="2">
        <v>-13</v>
      </c>
      <c r="T6" s="2"/>
      <c r="U6" s="104">
        <f t="shared" si="0"/>
        <v>210</v>
      </c>
      <c r="X6">
        <f t="shared" ca="1" si="1"/>
        <v>0.84990523072200697</v>
      </c>
      <c r="Y6" t="s">
        <v>3</v>
      </c>
      <c r="Z6" s="266"/>
      <c r="AA6" s="266"/>
    </row>
    <row r="7" spans="1:27" ht="20.100000000000001" customHeight="1" thickBot="1" x14ac:dyDescent="0.3">
      <c r="A7" s="63">
        <v>4</v>
      </c>
      <c r="B7" s="64" t="s">
        <v>12</v>
      </c>
      <c r="C7" s="64" t="s">
        <v>74</v>
      </c>
      <c r="D7" s="64" t="s">
        <v>4</v>
      </c>
      <c r="E7" s="64" t="s">
        <v>7</v>
      </c>
      <c r="F7" s="268"/>
      <c r="G7" s="271"/>
      <c r="I7" s="94" t="s">
        <v>78</v>
      </c>
      <c r="J7" s="103" t="s">
        <v>19</v>
      </c>
      <c r="K7" s="50">
        <v>0</v>
      </c>
      <c r="L7" s="2">
        <v>0</v>
      </c>
      <c r="M7" s="2">
        <v>-35</v>
      </c>
      <c r="N7" s="2">
        <v>-26</v>
      </c>
      <c r="O7" s="2">
        <f>59+185+35</f>
        <v>279</v>
      </c>
      <c r="P7" s="2">
        <v>-9</v>
      </c>
      <c r="Q7" s="2">
        <v>-14</v>
      </c>
      <c r="R7" s="2">
        <v>-7</v>
      </c>
      <c r="S7" s="2">
        <v>-8</v>
      </c>
      <c r="T7" s="2"/>
      <c r="U7" s="105">
        <f t="shared" si="0"/>
        <v>180</v>
      </c>
      <c r="X7">
        <f t="shared" ca="1" si="1"/>
        <v>0.35452376974934308</v>
      </c>
      <c r="Y7" t="s">
        <v>6</v>
      </c>
    </row>
    <row r="8" spans="1:27" ht="20.100000000000001" customHeight="1" x14ac:dyDescent="0.25">
      <c r="A8" s="85">
        <v>1</v>
      </c>
      <c r="B8" s="59" t="s">
        <v>21</v>
      </c>
      <c r="C8" s="65" t="s">
        <v>5</v>
      </c>
      <c r="D8" s="59" t="s">
        <v>7</v>
      </c>
      <c r="E8" s="59" t="s">
        <v>9</v>
      </c>
      <c r="F8" s="272" t="s">
        <v>3</v>
      </c>
      <c r="G8" s="274" t="s">
        <v>29</v>
      </c>
      <c r="I8" s="94" t="s">
        <v>79</v>
      </c>
      <c r="J8" s="103" t="s">
        <v>75</v>
      </c>
      <c r="K8" s="2">
        <v>65</v>
      </c>
      <c r="L8" s="2">
        <v>-13</v>
      </c>
      <c r="M8" s="2">
        <v>-3</v>
      </c>
      <c r="N8" s="2">
        <v>-29</v>
      </c>
      <c r="O8" s="2">
        <v>69</v>
      </c>
      <c r="P8" s="2">
        <f>96+19+10</f>
        <v>125</v>
      </c>
      <c r="Q8" s="2">
        <v>-16</v>
      </c>
      <c r="R8" s="2">
        <v>0</v>
      </c>
      <c r="S8" s="2">
        <v>-24</v>
      </c>
      <c r="T8" s="2"/>
      <c r="U8" s="104">
        <f t="shared" si="0"/>
        <v>174</v>
      </c>
      <c r="X8">
        <f t="shared" ca="1" si="1"/>
        <v>0.58260235490352352</v>
      </c>
      <c r="Y8" t="s">
        <v>19</v>
      </c>
    </row>
    <row r="9" spans="1:27" ht="20.100000000000001" customHeight="1" x14ac:dyDescent="0.25">
      <c r="A9" s="86">
        <v>2</v>
      </c>
      <c r="B9" s="54" t="s">
        <v>6</v>
      </c>
      <c r="C9" s="54" t="s">
        <v>18</v>
      </c>
      <c r="D9" s="54" t="s">
        <v>96</v>
      </c>
      <c r="E9" s="54" t="s">
        <v>93</v>
      </c>
      <c r="F9" s="273"/>
      <c r="G9" s="274"/>
      <c r="I9" s="94" t="s">
        <v>80</v>
      </c>
      <c r="J9" s="103" t="s">
        <v>18</v>
      </c>
      <c r="K9" s="2">
        <v>-20</v>
      </c>
      <c r="L9" s="2">
        <v>-15</v>
      </c>
      <c r="M9" s="2">
        <v>0</v>
      </c>
      <c r="N9" s="2">
        <v>-47</v>
      </c>
      <c r="O9" s="2">
        <f>11+42+13</f>
        <v>66</v>
      </c>
      <c r="P9" s="2">
        <v>-11</v>
      </c>
      <c r="Q9" s="2">
        <v>-19</v>
      </c>
      <c r="R9" s="2">
        <f>8+18+160</f>
        <v>186</v>
      </c>
      <c r="S9" s="2">
        <v>-12</v>
      </c>
      <c r="T9" s="2"/>
      <c r="U9" s="104">
        <f t="shared" si="0"/>
        <v>128</v>
      </c>
      <c r="X9">
        <f t="shared" ca="1" si="1"/>
        <v>0.70484170419749193</v>
      </c>
      <c r="Y9" t="s">
        <v>8</v>
      </c>
    </row>
    <row r="10" spans="1:27" ht="20.100000000000001" customHeight="1" x14ac:dyDescent="0.25">
      <c r="A10" s="86">
        <v>3</v>
      </c>
      <c r="B10" s="54" t="s">
        <v>74</v>
      </c>
      <c r="C10" s="54" t="s">
        <v>2</v>
      </c>
      <c r="D10" s="54" t="s">
        <v>8</v>
      </c>
      <c r="E10" s="54" t="s">
        <v>4</v>
      </c>
      <c r="F10" s="273"/>
      <c r="G10" s="274"/>
      <c r="I10" s="94" t="s">
        <v>81</v>
      </c>
      <c r="J10" s="103" t="s">
        <v>93</v>
      </c>
      <c r="K10" s="2">
        <v>-24</v>
      </c>
      <c r="L10" s="2">
        <v>-22</v>
      </c>
      <c r="M10" s="2">
        <v>215</v>
      </c>
      <c r="N10" s="2">
        <v>-19</v>
      </c>
      <c r="O10" s="2">
        <v>-30</v>
      </c>
      <c r="P10" s="2">
        <v>-31</v>
      </c>
      <c r="Q10" s="2">
        <v>-5</v>
      </c>
      <c r="R10" s="2">
        <v>0</v>
      </c>
      <c r="S10" s="2">
        <v>43</v>
      </c>
      <c r="T10" s="2"/>
      <c r="U10" s="104">
        <f t="shared" si="0"/>
        <v>127</v>
      </c>
      <c r="X10">
        <f t="shared" ca="1" si="1"/>
        <v>5.1963673661098442E-2</v>
      </c>
      <c r="Y10" t="s">
        <v>74</v>
      </c>
    </row>
    <row r="11" spans="1:27" ht="20.100000000000001" customHeight="1" thickBot="1" x14ac:dyDescent="0.3">
      <c r="A11" s="87">
        <v>4</v>
      </c>
      <c r="B11" s="65" t="s">
        <v>22</v>
      </c>
      <c r="C11" s="65" t="s">
        <v>20</v>
      </c>
      <c r="D11" s="65" t="s">
        <v>75</v>
      </c>
      <c r="E11" s="65" t="s">
        <v>23</v>
      </c>
      <c r="F11" s="273"/>
      <c r="G11" s="274"/>
      <c r="I11" s="94" t="s">
        <v>82</v>
      </c>
      <c r="J11" s="103" t="s">
        <v>4</v>
      </c>
      <c r="K11" s="2">
        <v>82</v>
      </c>
      <c r="L11" s="2">
        <v>88</v>
      </c>
      <c r="M11" s="2">
        <v>-33</v>
      </c>
      <c r="N11" s="2">
        <v>-22</v>
      </c>
      <c r="O11" s="2">
        <v>-35</v>
      </c>
      <c r="P11" s="2">
        <f>8+9+31</f>
        <v>48</v>
      </c>
      <c r="Q11" s="2">
        <v>-8</v>
      </c>
      <c r="R11" s="2">
        <v>0</v>
      </c>
      <c r="S11" s="2">
        <v>-10</v>
      </c>
      <c r="T11" s="2"/>
      <c r="U11" s="104">
        <f t="shared" si="0"/>
        <v>110</v>
      </c>
      <c r="X11">
        <f t="shared" ca="1" si="1"/>
        <v>0.5316101144840123</v>
      </c>
      <c r="Y11" t="s">
        <v>75</v>
      </c>
    </row>
    <row r="12" spans="1:27" ht="20.100000000000001" customHeight="1" x14ac:dyDescent="0.25">
      <c r="A12" s="67">
        <v>1</v>
      </c>
      <c r="B12" s="68" t="s">
        <v>6</v>
      </c>
      <c r="C12" s="68" t="s">
        <v>20</v>
      </c>
      <c r="D12" s="68" t="s">
        <v>7</v>
      </c>
      <c r="E12" s="68" t="s">
        <v>2</v>
      </c>
      <c r="F12" s="276" t="s">
        <v>97</v>
      </c>
      <c r="G12" s="278" t="s">
        <v>30</v>
      </c>
      <c r="I12" s="94" t="s">
        <v>83</v>
      </c>
      <c r="J12" s="103" t="s">
        <v>6</v>
      </c>
      <c r="K12" s="2">
        <v>-6</v>
      </c>
      <c r="L12" s="2">
        <v>65</v>
      </c>
      <c r="M12" s="2">
        <v>-11</v>
      </c>
      <c r="N12" s="2">
        <v>-11</v>
      </c>
      <c r="O12" s="2">
        <v>0</v>
      </c>
      <c r="P12" s="2">
        <v>-28</v>
      </c>
      <c r="Q12" s="2">
        <f>10+9+8</f>
        <v>27</v>
      </c>
      <c r="R12" s="2">
        <v>-8</v>
      </c>
      <c r="S12" s="2">
        <f>13+12+28</f>
        <v>53</v>
      </c>
      <c r="T12" s="2"/>
      <c r="U12" s="104">
        <f t="shared" si="0"/>
        <v>81</v>
      </c>
      <c r="X12">
        <f t="shared" ca="1" si="1"/>
        <v>0.52804370808383005</v>
      </c>
      <c r="Y12" t="s">
        <v>93</v>
      </c>
    </row>
    <row r="13" spans="1:27" ht="20.100000000000001" customHeight="1" x14ac:dyDescent="0.25">
      <c r="A13" s="69">
        <v>2</v>
      </c>
      <c r="B13" s="53" t="s">
        <v>12</v>
      </c>
      <c r="C13" s="53" t="s">
        <v>9</v>
      </c>
      <c r="D13" s="53" t="s">
        <v>19</v>
      </c>
      <c r="E13" s="53" t="s">
        <v>23</v>
      </c>
      <c r="F13" s="259"/>
      <c r="G13" s="279"/>
      <c r="I13" s="94" t="s">
        <v>84</v>
      </c>
      <c r="J13" s="103" t="s">
        <v>8</v>
      </c>
      <c r="K13" s="50">
        <v>40</v>
      </c>
      <c r="L13" s="2">
        <v>-29</v>
      </c>
      <c r="M13" s="2">
        <f>3+15+13</f>
        <v>31</v>
      </c>
      <c r="N13" s="2">
        <v>-50</v>
      </c>
      <c r="O13" s="2">
        <v>-11</v>
      </c>
      <c r="P13" s="2">
        <v>0</v>
      </c>
      <c r="Q13" s="2">
        <v>-8</v>
      </c>
      <c r="R13" s="2">
        <v>42</v>
      </c>
      <c r="S13" s="2">
        <v>0</v>
      </c>
      <c r="T13" s="2"/>
      <c r="U13" s="105">
        <f t="shared" si="0"/>
        <v>15</v>
      </c>
      <c r="X13">
        <f t="shared" ca="1" si="1"/>
        <v>0.66446835352376543</v>
      </c>
      <c r="Y13" t="s">
        <v>7</v>
      </c>
    </row>
    <row r="14" spans="1:27" ht="20.100000000000001" customHeight="1" x14ac:dyDescent="0.25">
      <c r="A14" s="69">
        <v>3</v>
      </c>
      <c r="B14" s="53" t="s">
        <v>74</v>
      </c>
      <c r="C14" s="53" t="s">
        <v>21</v>
      </c>
      <c r="D14" s="53" t="s">
        <v>75</v>
      </c>
      <c r="E14" s="53" t="s">
        <v>8</v>
      </c>
      <c r="F14" s="259"/>
      <c r="G14" s="279"/>
      <c r="I14" s="94" t="s">
        <v>85</v>
      </c>
      <c r="J14" s="103" t="s">
        <v>74</v>
      </c>
      <c r="K14" s="2">
        <v>-2</v>
      </c>
      <c r="L14" s="50">
        <v>-24</v>
      </c>
      <c r="M14" s="2">
        <v>-13</v>
      </c>
      <c r="N14" s="2">
        <v>0</v>
      </c>
      <c r="O14" s="2">
        <v>-2</v>
      </c>
      <c r="P14" s="2">
        <v>-8</v>
      </c>
      <c r="Q14" s="100">
        <f>19+14+27</f>
        <v>60</v>
      </c>
      <c r="R14" s="2">
        <v>-14</v>
      </c>
      <c r="S14" s="2">
        <v>0</v>
      </c>
      <c r="T14" s="2"/>
      <c r="U14" s="105">
        <f t="shared" si="0"/>
        <v>-3</v>
      </c>
      <c r="X14">
        <f t="shared" ca="1" si="1"/>
        <v>0.43690940902617281</v>
      </c>
      <c r="Y14" t="s">
        <v>5</v>
      </c>
    </row>
    <row r="15" spans="1:27" ht="20.100000000000001" customHeight="1" thickBot="1" x14ac:dyDescent="0.3">
      <c r="A15" s="70">
        <v>4</v>
      </c>
      <c r="B15" s="71" t="s">
        <v>4</v>
      </c>
      <c r="C15" s="71" t="s">
        <v>93</v>
      </c>
      <c r="D15" s="71" t="s">
        <v>44</v>
      </c>
      <c r="E15" s="71" t="s">
        <v>22</v>
      </c>
      <c r="F15" s="277"/>
      <c r="G15" s="280"/>
      <c r="I15" s="94" t="s">
        <v>86</v>
      </c>
      <c r="J15" s="103" t="s">
        <v>5</v>
      </c>
      <c r="K15" s="2">
        <v>-4</v>
      </c>
      <c r="L15" s="2">
        <v>-59</v>
      </c>
      <c r="M15" s="2">
        <v>0</v>
      </c>
      <c r="N15" s="2">
        <f>64+29+50</f>
        <v>143</v>
      </c>
      <c r="O15" s="2">
        <f>37+46+2</f>
        <v>85</v>
      </c>
      <c r="P15" s="2">
        <v>-17</v>
      </c>
      <c r="Q15" s="2">
        <v>-27</v>
      </c>
      <c r="R15" s="2">
        <v>-160</v>
      </c>
      <c r="S15" s="2">
        <v>-17</v>
      </c>
      <c r="T15" s="2"/>
      <c r="U15" s="104">
        <f t="shared" si="0"/>
        <v>-56</v>
      </c>
      <c r="X15">
        <f t="shared" ca="1" si="1"/>
        <v>0.60840334917620087</v>
      </c>
      <c r="Y15" t="s">
        <v>21</v>
      </c>
    </row>
    <row r="16" spans="1:27" ht="20.100000000000001" customHeight="1" x14ac:dyDescent="0.25">
      <c r="A16" s="88">
        <v>1</v>
      </c>
      <c r="B16" s="66" t="s">
        <v>8</v>
      </c>
      <c r="C16" s="66" t="s">
        <v>5</v>
      </c>
      <c r="D16" s="66" t="s">
        <v>2</v>
      </c>
      <c r="E16" s="66" t="s">
        <v>75</v>
      </c>
      <c r="F16" s="281" t="s">
        <v>98</v>
      </c>
      <c r="G16" s="283" t="s">
        <v>31</v>
      </c>
      <c r="I16" s="94" t="s">
        <v>87</v>
      </c>
      <c r="J16" s="103" t="s">
        <v>44</v>
      </c>
      <c r="K16" s="2">
        <v>0</v>
      </c>
      <c r="L16" s="2">
        <v>0</v>
      </c>
      <c r="M16" s="2">
        <v>-33</v>
      </c>
      <c r="N16" s="2">
        <f>26+19+11</f>
        <v>56</v>
      </c>
      <c r="O16" s="2">
        <v>-27</v>
      </c>
      <c r="P16" s="2">
        <v>0</v>
      </c>
      <c r="Q16" s="2">
        <f>2+8+9</f>
        <v>19</v>
      </c>
      <c r="R16" s="2">
        <v>-26</v>
      </c>
      <c r="S16" s="2">
        <v>-51</v>
      </c>
      <c r="T16" s="2"/>
      <c r="U16" s="104">
        <f t="shared" si="0"/>
        <v>-62</v>
      </c>
      <c r="X16">
        <f t="shared" ca="1" si="1"/>
        <v>0.27935864258829868</v>
      </c>
      <c r="Y16" t="s">
        <v>4</v>
      </c>
    </row>
    <row r="17" spans="1:25" ht="20.100000000000001" customHeight="1" x14ac:dyDescent="0.25">
      <c r="A17" s="89">
        <v>2</v>
      </c>
      <c r="B17" s="55" t="s">
        <v>23</v>
      </c>
      <c r="C17" s="55" t="s">
        <v>18</v>
      </c>
      <c r="D17" s="55" t="s">
        <v>4</v>
      </c>
      <c r="E17" s="55" t="s">
        <v>21</v>
      </c>
      <c r="F17" s="282"/>
      <c r="G17" s="283"/>
      <c r="I17" s="94" t="s">
        <v>88</v>
      </c>
      <c r="J17" s="103" t="s">
        <v>23</v>
      </c>
      <c r="K17" s="2">
        <v>-7</v>
      </c>
      <c r="L17" s="2">
        <v>-31</v>
      </c>
      <c r="M17" s="2">
        <v>63</v>
      </c>
      <c r="N17" s="2">
        <v>-21</v>
      </c>
      <c r="O17" s="2">
        <v>-59</v>
      </c>
      <c r="P17" s="2">
        <v>-96</v>
      </c>
      <c r="Q17" s="2">
        <v>-9</v>
      </c>
      <c r="R17" s="2">
        <f>51+22+27</f>
        <v>100</v>
      </c>
      <c r="S17" s="2">
        <v>-13</v>
      </c>
      <c r="T17" s="2"/>
      <c r="U17" s="104">
        <f t="shared" si="0"/>
        <v>-73</v>
      </c>
      <c r="X17">
        <f t="shared" ca="1" si="1"/>
        <v>0.11854320629229587</v>
      </c>
      <c r="Y17" t="s">
        <v>20</v>
      </c>
    </row>
    <row r="18" spans="1:25" ht="20.100000000000001" customHeight="1" x14ac:dyDescent="0.25">
      <c r="A18" s="89">
        <v>3</v>
      </c>
      <c r="B18" s="55" t="s">
        <v>93</v>
      </c>
      <c r="C18" s="55" t="s">
        <v>19</v>
      </c>
      <c r="D18" s="55" t="s">
        <v>44</v>
      </c>
      <c r="E18" s="55" t="s">
        <v>6</v>
      </c>
      <c r="F18" s="282"/>
      <c r="G18" s="283"/>
      <c r="I18" s="94" t="s">
        <v>89</v>
      </c>
      <c r="J18" s="103" t="s">
        <v>9</v>
      </c>
      <c r="K18" s="2">
        <v>-28</v>
      </c>
      <c r="L18" s="50">
        <v>-32</v>
      </c>
      <c r="M18" s="2">
        <v>-11</v>
      </c>
      <c r="N18" s="2">
        <v>-18</v>
      </c>
      <c r="O18" s="2">
        <v>0</v>
      </c>
      <c r="P18" s="2">
        <v>-10</v>
      </c>
      <c r="Q18" s="2">
        <v>-9</v>
      </c>
      <c r="R18" s="2">
        <v>-15</v>
      </c>
      <c r="S18" s="2">
        <f>10+13+17</f>
        <v>40</v>
      </c>
      <c r="T18" s="2"/>
      <c r="U18" s="105">
        <f t="shared" si="0"/>
        <v>-83</v>
      </c>
      <c r="X18">
        <f t="shared" ca="1" si="1"/>
        <v>0.28025394409915094</v>
      </c>
      <c r="Y18" t="s">
        <v>2</v>
      </c>
    </row>
    <row r="19" spans="1:25" ht="20.100000000000001" customHeight="1" thickBot="1" x14ac:dyDescent="0.3">
      <c r="A19" s="90">
        <v>4</v>
      </c>
      <c r="B19" s="72" t="s">
        <v>7</v>
      </c>
      <c r="C19" s="72" t="s">
        <v>12</v>
      </c>
      <c r="D19" s="72" t="s">
        <v>20</v>
      </c>
      <c r="E19" s="72" t="s">
        <v>9</v>
      </c>
      <c r="F19" s="282"/>
      <c r="G19" s="283"/>
      <c r="I19" s="94" t="s">
        <v>90</v>
      </c>
      <c r="J19" s="103" t="s">
        <v>2</v>
      </c>
      <c r="K19" s="2">
        <v>-7</v>
      </c>
      <c r="L19" s="50">
        <v>-30</v>
      </c>
      <c r="M19" s="2">
        <v>-11</v>
      </c>
      <c r="N19" s="2">
        <v>-64</v>
      </c>
      <c r="O19" s="2">
        <v>-42</v>
      </c>
      <c r="P19" s="2">
        <f>33+11+17</f>
        <v>61</v>
      </c>
      <c r="Q19" s="2">
        <v>0</v>
      </c>
      <c r="R19" s="2">
        <v>-13</v>
      </c>
      <c r="S19" s="2">
        <v>-20</v>
      </c>
      <c r="T19" s="2"/>
      <c r="U19" s="105">
        <f t="shared" si="0"/>
        <v>-126</v>
      </c>
      <c r="X19">
        <f t="shared" ca="1" si="1"/>
        <v>0.5214147813937049</v>
      </c>
      <c r="Y19" t="s">
        <v>9</v>
      </c>
    </row>
    <row r="20" spans="1:25" ht="20.100000000000001" customHeight="1" x14ac:dyDescent="0.25">
      <c r="A20" s="74">
        <v>1</v>
      </c>
      <c r="B20" s="75" t="s">
        <v>12</v>
      </c>
      <c r="C20" s="75" t="s">
        <v>21</v>
      </c>
      <c r="D20" s="75" t="s">
        <v>5</v>
      </c>
      <c r="E20" s="75" t="s">
        <v>74</v>
      </c>
      <c r="F20" s="284" t="s">
        <v>99</v>
      </c>
      <c r="G20" s="287" t="s">
        <v>32</v>
      </c>
      <c r="I20" s="94" t="s">
        <v>91</v>
      </c>
      <c r="J20" s="106" t="s">
        <v>3</v>
      </c>
      <c r="K20" s="2">
        <v>0</v>
      </c>
      <c r="L20" s="2">
        <v>0</v>
      </c>
      <c r="M20" s="2">
        <v>0</v>
      </c>
      <c r="N20" s="2">
        <v>0</v>
      </c>
      <c r="O20" s="2">
        <v>-12</v>
      </c>
      <c r="P20" s="2">
        <v>-89</v>
      </c>
      <c r="Q20" s="2">
        <v>-2</v>
      </c>
      <c r="R20" s="2">
        <v>-27</v>
      </c>
      <c r="S20" s="2">
        <v>-14</v>
      </c>
      <c r="T20" s="2"/>
      <c r="U20" s="104">
        <f t="shared" si="0"/>
        <v>-144</v>
      </c>
      <c r="X20">
        <f t="shared" ca="1" si="1"/>
        <v>0.30102259260824615</v>
      </c>
      <c r="Y20" t="s">
        <v>23</v>
      </c>
    </row>
    <row r="21" spans="1:25" ht="20.100000000000001" customHeight="1" x14ac:dyDescent="0.25">
      <c r="A21" s="76">
        <v>2</v>
      </c>
      <c r="B21" s="56" t="s">
        <v>44</v>
      </c>
      <c r="C21" s="56" t="s">
        <v>93</v>
      </c>
      <c r="D21" s="56" t="s">
        <v>75</v>
      </c>
      <c r="E21" s="56" t="s">
        <v>3</v>
      </c>
      <c r="F21" s="285"/>
      <c r="G21" s="288"/>
      <c r="I21" s="94" t="s">
        <v>92</v>
      </c>
      <c r="J21" s="103" t="s">
        <v>7</v>
      </c>
      <c r="K21" s="2">
        <v>-4</v>
      </c>
      <c r="L21" s="2">
        <v>-58</v>
      </c>
      <c r="M21" s="2">
        <v>39</v>
      </c>
      <c r="N21" s="2">
        <v>-12</v>
      </c>
      <c r="O21" s="2">
        <v>-13</v>
      </c>
      <c r="P21" s="2">
        <v>-19</v>
      </c>
      <c r="Q21" s="2">
        <v>0</v>
      </c>
      <c r="R21" s="2">
        <v>-51</v>
      </c>
      <c r="S21" s="2">
        <v>-28</v>
      </c>
      <c r="T21" s="2"/>
      <c r="U21" s="104">
        <f t="shared" si="0"/>
        <v>-146</v>
      </c>
      <c r="X21">
        <f t="shared" ca="1" si="1"/>
        <v>0.71070605134956077</v>
      </c>
      <c r="Y21" t="s">
        <v>22</v>
      </c>
    </row>
    <row r="22" spans="1:25" ht="20.100000000000001" customHeight="1" x14ac:dyDescent="0.25">
      <c r="A22" s="76">
        <v>3</v>
      </c>
      <c r="B22" s="56" t="s">
        <v>4</v>
      </c>
      <c r="C22" s="56" t="s">
        <v>22</v>
      </c>
      <c r="D22" s="56" t="s">
        <v>19</v>
      </c>
      <c r="E22" s="56" t="s">
        <v>23</v>
      </c>
      <c r="F22" s="285"/>
      <c r="G22" s="288"/>
      <c r="H22" s="9"/>
      <c r="I22" s="94" t="s">
        <v>94</v>
      </c>
      <c r="J22" s="103" t="s">
        <v>12</v>
      </c>
      <c r="K22" s="2">
        <v>-76</v>
      </c>
      <c r="L22" s="2">
        <v>-38</v>
      </c>
      <c r="M22" s="2">
        <v>-17</v>
      </c>
      <c r="N22" s="2">
        <v>-20</v>
      </c>
      <c r="O22" s="2">
        <v>-46</v>
      </c>
      <c r="P22" s="2">
        <v>-50</v>
      </c>
      <c r="Q22" s="2">
        <v>0</v>
      </c>
      <c r="R22" s="2">
        <v>-22</v>
      </c>
      <c r="S22" s="2">
        <v>-21</v>
      </c>
      <c r="T22" s="2"/>
      <c r="U22" s="104">
        <f t="shared" si="0"/>
        <v>-290</v>
      </c>
      <c r="X22">
        <f t="shared" ca="1" si="1"/>
        <v>0.68826561190201818</v>
      </c>
      <c r="Y22" t="s">
        <v>12</v>
      </c>
    </row>
    <row r="23" spans="1:25" ht="20.100000000000001" customHeight="1" thickBot="1" x14ac:dyDescent="0.3">
      <c r="A23" s="77">
        <v>4</v>
      </c>
      <c r="B23" s="78" t="s">
        <v>8</v>
      </c>
      <c r="C23" s="78" t="s">
        <v>18</v>
      </c>
      <c r="D23" s="78" t="s">
        <v>2</v>
      </c>
      <c r="E23" s="78" t="s">
        <v>7</v>
      </c>
      <c r="F23" s="286"/>
      <c r="G23" s="289"/>
      <c r="H23" s="9"/>
      <c r="I23" s="94" t="s">
        <v>95</v>
      </c>
      <c r="J23" s="107" t="s">
        <v>22</v>
      </c>
      <c r="K23" s="22">
        <v>20</v>
      </c>
      <c r="L23" s="22">
        <v>-25</v>
      </c>
      <c r="M23" s="22">
        <v>-149</v>
      </c>
      <c r="N23" s="22">
        <v>0</v>
      </c>
      <c r="O23" s="22">
        <v>-185</v>
      </c>
      <c r="P23" s="22">
        <v>-33</v>
      </c>
      <c r="Q23" s="22">
        <v>-10</v>
      </c>
      <c r="R23" s="22">
        <v>-21</v>
      </c>
      <c r="S23" s="22">
        <v>0</v>
      </c>
      <c r="T23" s="22"/>
      <c r="U23" s="108">
        <f t="shared" si="0"/>
        <v>-403</v>
      </c>
      <c r="X23">
        <f t="shared" ca="1" si="1"/>
        <v>0.95678648884645467</v>
      </c>
      <c r="Y23" s="37" t="s">
        <v>44</v>
      </c>
    </row>
    <row r="24" spans="1:25" ht="20.100000000000001" customHeight="1" thickBot="1" x14ac:dyDescent="0.3">
      <c r="A24" s="91">
        <v>1</v>
      </c>
      <c r="B24" s="73" t="s">
        <v>9</v>
      </c>
      <c r="C24" s="73" t="s">
        <v>7</v>
      </c>
      <c r="D24" s="73" t="s">
        <v>23</v>
      </c>
      <c r="E24" s="73" t="s">
        <v>75</v>
      </c>
      <c r="F24" s="290" t="s">
        <v>100</v>
      </c>
      <c r="G24" s="291" t="s">
        <v>33</v>
      </c>
      <c r="H24" s="9"/>
      <c r="I24" s="9"/>
    </row>
    <row r="25" spans="1:25" ht="20.100000000000001" customHeight="1" x14ac:dyDescent="0.25">
      <c r="A25" s="92">
        <v>2</v>
      </c>
      <c r="B25" s="57" t="s">
        <v>6</v>
      </c>
      <c r="C25" s="57" t="s">
        <v>12</v>
      </c>
      <c r="D25" s="57" t="s">
        <v>3</v>
      </c>
      <c r="E25" s="57" t="s">
        <v>20</v>
      </c>
      <c r="F25" s="290"/>
      <c r="G25" s="291"/>
      <c r="H25" s="9"/>
      <c r="I25" s="9"/>
      <c r="J25" s="246" t="s">
        <v>73</v>
      </c>
      <c r="K25" s="247"/>
      <c r="L25" s="247"/>
      <c r="M25" s="247"/>
      <c r="N25" s="247"/>
      <c r="O25" s="247"/>
      <c r="P25" s="247"/>
      <c r="Q25" s="247"/>
      <c r="R25" s="248"/>
    </row>
    <row r="26" spans="1:25" ht="20.100000000000001" customHeight="1" x14ac:dyDescent="0.25">
      <c r="A26" s="92">
        <v>3</v>
      </c>
      <c r="B26" s="57" t="s">
        <v>74</v>
      </c>
      <c r="C26" s="57" t="s">
        <v>4</v>
      </c>
      <c r="D26" s="57" t="s">
        <v>19</v>
      </c>
      <c r="E26" s="57" t="s">
        <v>93</v>
      </c>
      <c r="F26" s="290"/>
      <c r="G26" s="291"/>
      <c r="H26" s="9"/>
      <c r="I26" s="9"/>
      <c r="J26" s="249"/>
      <c r="K26" s="250"/>
      <c r="L26" s="250"/>
      <c r="M26" s="250"/>
      <c r="N26" s="250"/>
      <c r="O26" s="250"/>
      <c r="P26" s="250"/>
      <c r="Q26" s="250"/>
      <c r="R26" s="251"/>
      <c r="S26" s="9"/>
      <c r="U26" s="9"/>
    </row>
    <row r="27" spans="1:25" ht="20.100000000000001" customHeight="1" thickBot="1" x14ac:dyDescent="0.45">
      <c r="A27" s="93">
        <v>4</v>
      </c>
      <c r="B27" s="79" t="s">
        <v>5</v>
      </c>
      <c r="C27" s="79" t="s">
        <v>18</v>
      </c>
      <c r="D27" s="79" t="s">
        <v>22</v>
      </c>
      <c r="E27" s="79" t="s">
        <v>2</v>
      </c>
      <c r="F27" s="290"/>
      <c r="G27" s="291"/>
      <c r="H27" s="9"/>
      <c r="I27" s="9"/>
      <c r="J27" s="32"/>
      <c r="K27" s="33"/>
      <c r="L27" s="33"/>
      <c r="M27" s="33"/>
      <c r="N27" s="95" t="s">
        <v>76</v>
      </c>
      <c r="O27" s="33"/>
      <c r="P27" s="33"/>
      <c r="Q27" s="33"/>
      <c r="R27" s="34"/>
    </row>
    <row r="28" spans="1:25" ht="20.100000000000001" customHeight="1" x14ac:dyDescent="0.25">
      <c r="A28" s="80">
        <v>1</v>
      </c>
      <c r="B28" s="81" t="s">
        <v>9</v>
      </c>
      <c r="C28" s="81" t="s">
        <v>44</v>
      </c>
      <c r="D28" s="81" t="s">
        <v>8</v>
      </c>
      <c r="E28" s="81" t="s">
        <v>3</v>
      </c>
      <c r="F28" s="292" t="s">
        <v>101</v>
      </c>
      <c r="G28" s="295" t="s">
        <v>34</v>
      </c>
      <c r="H28" s="9"/>
      <c r="I28" s="9"/>
      <c r="J28" s="32"/>
      <c r="K28" s="33"/>
      <c r="L28" s="33"/>
      <c r="M28" s="298" t="str">
        <f>$J$5</f>
        <v>Sune</v>
      </c>
      <c r="N28" s="299"/>
      <c r="O28" s="300"/>
      <c r="P28" s="33"/>
      <c r="Q28" s="33"/>
      <c r="R28" s="34"/>
    </row>
    <row r="29" spans="1:25" ht="20.100000000000001" customHeight="1" thickBot="1" x14ac:dyDescent="0.45">
      <c r="A29" s="82">
        <v>2</v>
      </c>
      <c r="B29" s="58" t="s">
        <v>74</v>
      </c>
      <c r="C29" s="58" t="s">
        <v>19</v>
      </c>
      <c r="D29" s="58" t="s">
        <v>18</v>
      </c>
      <c r="E29" s="58" t="s">
        <v>5</v>
      </c>
      <c r="F29" s="293"/>
      <c r="G29" s="296"/>
      <c r="H29" s="9"/>
      <c r="I29" s="9"/>
      <c r="J29" s="32"/>
      <c r="K29" s="95" t="s">
        <v>77</v>
      </c>
      <c r="L29" s="33"/>
      <c r="M29" s="301"/>
      <c r="N29" s="302"/>
      <c r="O29" s="303"/>
      <c r="P29" s="33"/>
      <c r="Q29" s="95" t="s">
        <v>78</v>
      </c>
      <c r="R29" s="34"/>
    </row>
    <row r="30" spans="1:25" ht="20.100000000000001" customHeight="1" x14ac:dyDescent="0.25">
      <c r="A30" s="82">
        <v>3</v>
      </c>
      <c r="B30" s="58" t="s">
        <v>22</v>
      </c>
      <c r="C30" s="58" t="s">
        <v>4</v>
      </c>
      <c r="D30" s="58" t="s">
        <v>6</v>
      </c>
      <c r="E30" s="58" t="s">
        <v>23</v>
      </c>
      <c r="F30" s="293"/>
      <c r="G30" s="296"/>
      <c r="H30" s="9"/>
      <c r="I30" s="9"/>
      <c r="J30" s="232" t="str">
        <f>$J$6</f>
        <v>Natasja</v>
      </c>
      <c r="K30" s="233"/>
      <c r="L30" s="234"/>
      <c r="M30" s="33"/>
      <c r="N30" s="33"/>
      <c r="O30" s="33"/>
      <c r="P30" s="304" t="str">
        <f>$J$7</f>
        <v>Amalie</v>
      </c>
      <c r="Q30" s="305"/>
      <c r="R30" s="306"/>
    </row>
    <row r="31" spans="1:25" ht="20.100000000000001" customHeight="1" thickBot="1" x14ac:dyDescent="0.3">
      <c r="A31" s="83">
        <v>4</v>
      </c>
      <c r="B31" s="84" t="s">
        <v>21</v>
      </c>
      <c r="C31" s="84" t="s">
        <v>20</v>
      </c>
      <c r="D31" s="84" t="s">
        <v>93</v>
      </c>
      <c r="E31" s="84" t="s">
        <v>75</v>
      </c>
      <c r="F31" s="294"/>
      <c r="G31" s="297"/>
      <c r="H31" s="9"/>
      <c r="I31" s="9"/>
      <c r="J31" s="235"/>
      <c r="K31" s="236"/>
      <c r="L31" s="237"/>
      <c r="M31" s="35"/>
      <c r="N31" s="35"/>
      <c r="O31" s="35"/>
      <c r="P31" s="307"/>
      <c r="Q31" s="308"/>
      <c r="R31" s="309"/>
    </row>
    <row r="32" spans="1:25" ht="20.100000000000001" customHeight="1" x14ac:dyDescent="0.25">
      <c r="A32" s="111">
        <v>1</v>
      </c>
      <c r="B32" s="112" t="s">
        <v>22</v>
      </c>
      <c r="C32" s="112" t="s">
        <v>19</v>
      </c>
      <c r="D32" s="112" t="s">
        <v>8</v>
      </c>
      <c r="E32" s="112" t="s">
        <v>74</v>
      </c>
      <c r="F32" s="310" t="s">
        <v>102</v>
      </c>
      <c r="G32" s="312" t="s">
        <v>35</v>
      </c>
      <c r="H32" s="9"/>
      <c r="I32" s="9"/>
    </row>
    <row r="33" spans="1:9" ht="20.100000000000001" customHeight="1" x14ac:dyDescent="0.25">
      <c r="A33" s="86">
        <v>2</v>
      </c>
      <c r="B33" s="54" t="s">
        <v>7</v>
      </c>
      <c r="C33" s="54" t="s">
        <v>12</v>
      </c>
      <c r="D33" s="54" t="s">
        <v>23</v>
      </c>
      <c r="E33" s="54" t="s">
        <v>3</v>
      </c>
      <c r="F33" s="273"/>
      <c r="G33" s="274"/>
      <c r="H33" s="9"/>
      <c r="I33" s="9"/>
    </row>
    <row r="34" spans="1:9" ht="20.100000000000001" customHeight="1" x14ac:dyDescent="0.25">
      <c r="A34" s="86">
        <v>3</v>
      </c>
      <c r="B34" s="54" t="s">
        <v>44</v>
      </c>
      <c r="C34" s="54" t="s">
        <v>2</v>
      </c>
      <c r="D34" s="54" t="s">
        <v>21</v>
      </c>
      <c r="E34" s="54" t="s">
        <v>9</v>
      </c>
      <c r="F34" s="273"/>
      <c r="G34" s="274"/>
      <c r="H34" s="9"/>
      <c r="I34" s="9"/>
    </row>
    <row r="35" spans="1:9" ht="20.100000000000001" customHeight="1" thickBot="1" x14ac:dyDescent="0.3">
      <c r="A35" s="113">
        <v>4</v>
      </c>
      <c r="B35" s="114" t="s">
        <v>20</v>
      </c>
      <c r="C35" s="114" t="s">
        <v>6</v>
      </c>
      <c r="D35" s="114" t="s">
        <v>18</v>
      </c>
      <c r="E35" s="114" t="s">
        <v>5</v>
      </c>
      <c r="F35" s="311"/>
      <c r="G35" s="313"/>
      <c r="H35" s="9"/>
      <c r="I35" s="9"/>
    </row>
    <row r="36" spans="1:9" ht="20.100000000000001" customHeight="1" x14ac:dyDescent="0.25">
      <c r="A36" s="115">
        <v>1</v>
      </c>
      <c r="B36" s="116" t="s">
        <v>4</v>
      </c>
      <c r="C36" s="116" t="s">
        <v>20</v>
      </c>
      <c r="D36" s="116" t="s">
        <v>5</v>
      </c>
      <c r="E36" s="116" t="s">
        <v>9</v>
      </c>
      <c r="F36" s="314" t="s">
        <v>103</v>
      </c>
      <c r="G36" s="317" t="s">
        <v>36</v>
      </c>
      <c r="H36" s="9"/>
      <c r="I36" s="9"/>
    </row>
    <row r="37" spans="1:9" ht="20.100000000000001" customHeight="1" x14ac:dyDescent="0.25">
      <c r="A37" s="117">
        <v>2</v>
      </c>
      <c r="B37" s="118" t="s">
        <v>93</v>
      </c>
      <c r="C37" s="118" t="s">
        <v>3</v>
      </c>
      <c r="D37" s="118" t="s">
        <v>12</v>
      </c>
      <c r="E37" s="118" t="s">
        <v>19</v>
      </c>
      <c r="F37" s="315"/>
      <c r="G37" s="318"/>
    </row>
    <row r="38" spans="1:9" ht="20.100000000000001" customHeight="1" x14ac:dyDescent="0.25">
      <c r="A38" s="117">
        <v>3</v>
      </c>
      <c r="B38" s="118" t="s">
        <v>2</v>
      </c>
      <c r="C38" s="118" t="s">
        <v>21</v>
      </c>
      <c r="D38" s="118" t="s">
        <v>44</v>
      </c>
      <c r="E38" s="118" t="s">
        <v>75</v>
      </c>
      <c r="F38" s="315"/>
      <c r="G38" s="318"/>
    </row>
    <row r="39" spans="1:9" ht="20.100000000000001" customHeight="1" thickBot="1" x14ac:dyDescent="0.3">
      <c r="A39" s="119">
        <v>4</v>
      </c>
      <c r="B39" s="120" t="s">
        <v>23</v>
      </c>
      <c r="C39" s="120" t="s">
        <v>7</v>
      </c>
      <c r="D39" s="120" t="s">
        <v>6</v>
      </c>
      <c r="E39" s="120" t="s">
        <v>18</v>
      </c>
      <c r="F39" s="316"/>
      <c r="G39" s="319"/>
    </row>
    <row r="40" spans="1:9" ht="20.100000000000001" customHeight="1" x14ac:dyDescent="0.25">
      <c r="A40" s="5">
        <v>1</v>
      </c>
      <c r="B40" s="17"/>
      <c r="C40" s="17"/>
      <c r="D40" s="17"/>
      <c r="E40" s="17"/>
      <c r="F40" s="320" t="s">
        <v>104</v>
      </c>
      <c r="G40" s="258" t="s">
        <v>38</v>
      </c>
    </row>
    <row r="41" spans="1:9" ht="20.100000000000001" customHeight="1" x14ac:dyDescent="0.25">
      <c r="A41" s="6">
        <v>2</v>
      </c>
      <c r="B41" s="15"/>
      <c r="C41" s="17"/>
      <c r="D41" s="17"/>
      <c r="E41" s="30"/>
      <c r="F41" s="261"/>
      <c r="G41" s="258"/>
    </row>
    <row r="42" spans="1:9" ht="20.100000000000001" customHeight="1" x14ac:dyDescent="0.25">
      <c r="A42" s="6">
        <v>3</v>
      </c>
      <c r="B42" s="15"/>
      <c r="C42" s="17"/>
      <c r="D42" s="17"/>
      <c r="E42" s="17"/>
      <c r="F42" s="261"/>
      <c r="G42" s="258"/>
    </row>
    <row r="43" spans="1:9" ht="20.100000000000001" customHeight="1" x14ac:dyDescent="0.25">
      <c r="A43" s="6">
        <v>4</v>
      </c>
      <c r="B43" s="15"/>
      <c r="C43" s="17"/>
      <c r="D43" s="17"/>
      <c r="E43" s="17"/>
      <c r="F43" s="261"/>
      <c r="G43" s="258"/>
    </row>
    <row r="44" spans="1:9" ht="19.5" customHeight="1" x14ac:dyDescent="0.25"/>
    <row r="47" spans="1:9" ht="20.100000000000001" customHeight="1" x14ac:dyDescent="0.25">
      <c r="A47" s="37"/>
    </row>
    <row r="48" spans="1:9" ht="20.100000000000001" customHeight="1" x14ac:dyDescent="0.25">
      <c r="A48" s="37"/>
    </row>
  </sheetData>
  <sortState xmlns:xlrd2="http://schemas.microsoft.com/office/spreadsheetml/2017/richdata2" ref="J5:U23">
    <sortCondition descending="1" ref="U5"/>
  </sortState>
  <mergeCells count="26">
    <mergeCell ref="F32:F35"/>
    <mergeCell ref="G32:G35"/>
    <mergeCell ref="F36:F39"/>
    <mergeCell ref="G36:G39"/>
    <mergeCell ref="F40:F43"/>
    <mergeCell ref="G40:G43"/>
    <mergeCell ref="J25:R26"/>
    <mergeCell ref="F24:F27"/>
    <mergeCell ref="G24:G27"/>
    <mergeCell ref="F28:F31"/>
    <mergeCell ref="G28:G31"/>
    <mergeCell ref="M28:O29"/>
    <mergeCell ref="J30:L31"/>
    <mergeCell ref="P30:R31"/>
    <mergeCell ref="F12:F15"/>
    <mergeCell ref="G12:G15"/>
    <mergeCell ref="F16:F19"/>
    <mergeCell ref="G16:G19"/>
    <mergeCell ref="F20:F23"/>
    <mergeCell ref="G20:G23"/>
    <mergeCell ref="Z3:AA6"/>
    <mergeCell ref="F4:F7"/>
    <mergeCell ref="G4:G7"/>
    <mergeCell ref="F8:F11"/>
    <mergeCell ref="G8:G11"/>
    <mergeCell ref="J3:U3"/>
  </mergeCells>
  <phoneticPr fontId="13" type="noConversion"/>
  <conditionalFormatting sqref="K5:U23">
    <cfRule type="cellIs" dxfId="5" priority="1" stopIfTrue="1" operator="greaterThan">
      <formula>0</formula>
    </cfRule>
    <cfRule type="cellIs" dxfId="4" priority="2" stopIfTrue="1" operator="lessThan">
      <formula>0</formula>
    </cfRule>
    <cfRule type="cellIs" dxfId="3" priority="3" stopIfTrue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Opdater">
                <anchor moveWithCells="1">
                  <from>
                    <xdr:col>18</xdr:col>
                    <xdr:colOff>297180</xdr:colOff>
                    <xdr:row>26</xdr:row>
                    <xdr:rowOff>76200</xdr:rowOff>
                  </from>
                  <to>
                    <xdr:col>20</xdr:col>
                    <xdr:colOff>510540</xdr:colOff>
                    <xdr:row>28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8E59-7963-4506-89F9-7F9FBA8DAA51}">
  <sheetPr codeName="Ark6"/>
  <dimension ref="A1:AA48"/>
  <sheetViews>
    <sheetView tabSelected="1" zoomScale="60" zoomScaleNormal="60" workbookViewId="0">
      <selection activeCell="W21" sqref="W21"/>
    </sheetView>
  </sheetViews>
  <sheetFormatPr defaultRowHeight="20.100000000000001" customHeight="1" x14ac:dyDescent="0.25"/>
  <cols>
    <col min="3" max="5" width="13.77734375" customWidth="1"/>
    <col min="6" max="6" width="13.21875" customWidth="1"/>
    <col min="7" max="7" width="10.109375" style="110" bestFit="1" customWidth="1"/>
    <col min="8" max="8" width="9.21875" customWidth="1"/>
    <col min="10" max="10" width="11.21875" bestFit="1" customWidth="1"/>
    <col min="19" max="19" width="9.77734375" bestFit="1" customWidth="1"/>
    <col min="23" max="23" width="11.21875" customWidth="1"/>
    <col min="24" max="24" width="12.77734375" customWidth="1"/>
    <col min="25" max="25" width="10.44140625" customWidth="1"/>
    <col min="26" max="27" width="8.77734375" customWidth="1"/>
  </cols>
  <sheetData>
    <row r="1" spans="1:27" ht="20.100000000000001" customHeight="1" x14ac:dyDescent="0.3">
      <c r="B1" s="1" t="s">
        <v>105</v>
      </c>
      <c r="E1" s="36"/>
      <c r="W1" s="37"/>
    </row>
    <row r="3" spans="1:27" ht="20.100000000000001" customHeight="1" thickBot="1" x14ac:dyDescent="0.45">
      <c r="B3" s="9" t="s">
        <v>27</v>
      </c>
      <c r="C3" s="9" t="s">
        <v>0</v>
      </c>
      <c r="D3" s="9" t="s">
        <v>0</v>
      </c>
      <c r="E3" s="9" t="s">
        <v>0</v>
      </c>
      <c r="F3" s="9" t="s">
        <v>0</v>
      </c>
      <c r="G3" s="96" t="s">
        <v>37</v>
      </c>
      <c r="J3" s="275" t="s">
        <v>1</v>
      </c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Z3" s="266" t="s">
        <v>65</v>
      </c>
      <c r="AA3" s="266"/>
    </row>
    <row r="4" spans="1:27" ht="20.100000000000001" customHeight="1" thickBot="1" x14ac:dyDescent="0.3">
      <c r="A4" s="269" t="s">
        <v>28</v>
      </c>
      <c r="B4" s="149">
        <v>1</v>
      </c>
      <c r="C4" s="152" t="s">
        <v>20</v>
      </c>
      <c r="D4" s="61" t="s">
        <v>18</v>
      </c>
      <c r="E4" s="61" t="s">
        <v>21</v>
      </c>
      <c r="F4" s="190" t="s">
        <v>9</v>
      </c>
      <c r="G4" s="345" t="s">
        <v>17</v>
      </c>
      <c r="I4" s="9"/>
      <c r="J4" s="97" t="s">
        <v>10</v>
      </c>
      <c r="K4" s="98" t="s">
        <v>28</v>
      </c>
      <c r="L4" s="98" t="s">
        <v>29</v>
      </c>
      <c r="M4" s="98" t="s">
        <v>30</v>
      </c>
      <c r="N4" s="98" t="s">
        <v>31</v>
      </c>
      <c r="O4" s="98" t="s">
        <v>32</v>
      </c>
      <c r="P4" s="98" t="s">
        <v>33</v>
      </c>
      <c r="Q4" s="98" t="s">
        <v>34</v>
      </c>
      <c r="R4" s="98" t="s">
        <v>35</v>
      </c>
      <c r="S4" s="98" t="s">
        <v>36</v>
      </c>
      <c r="T4" s="98" t="s">
        <v>38</v>
      </c>
      <c r="U4" s="99" t="s">
        <v>11</v>
      </c>
      <c r="X4" t="s">
        <v>63</v>
      </c>
      <c r="Y4" t="s">
        <v>62</v>
      </c>
      <c r="Z4" s="266"/>
      <c r="AA4" s="266"/>
    </row>
    <row r="5" spans="1:27" ht="20.100000000000001" customHeight="1" x14ac:dyDescent="0.25">
      <c r="A5" s="270"/>
      <c r="B5" s="150">
        <v>2</v>
      </c>
      <c r="C5" s="153"/>
      <c r="D5" s="52" t="s">
        <v>4</v>
      </c>
      <c r="E5" s="52" t="s">
        <v>8</v>
      </c>
      <c r="F5" s="191" t="s">
        <v>75</v>
      </c>
      <c r="G5" s="346"/>
      <c r="I5" s="94" t="s">
        <v>76</v>
      </c>
      <c r="J5" s="101" t="s">
        <v>21</v>
      </c>
      <c r="K5" s="102">
        <f>15+25+55</f>
        <v>95</v>
      </c>
      <c r="L5" s="229">
        <v>-40</v>
      </c>
      <c r="M5" s="102">
        <f>13+9+29</f>
        <v>51</v>
      </c>
      <c r="N5" s="102">
        <v>-21</v>
      </c>
      <c r="O5" s="102">
        <f>233+47+6</f>
        <v>286</v>
      </c>
      <c r="P5" s="102">
        <v>-12</v>
      </c>
      <c r="Q5" s="102"/>
      <c r="R5" s="102"/>
      <c r="S5" s="102"/>
      <c r="T5" s="102"/>
      <c r="U5" s="230">
        <f t="shared" ref="U5:U23" si="0">SUM(K5:T5)</f>
        <v>359</v>
      </c>
      <c r="X5">
        <f t="shared" ref="X5:X23" ca="1" si="1">RAND()</f>
        <v>0.56061306265796029</v>
      </c>
      <c r="Y5" t="s">
        <v>8</v>
      </c>
      <c r="Z5" s="266"/>
      <c r="AA5" s="266"/>
    </row>
    <row r="6" spans="1:27" ht="20.100000000000001" customHeight="1" x14ac:dyDescent="0.25">
      <c r="A6" s="270"/>
      <c r="B6" s="150">
        <v>3</v>
      </c>
      <c r="C6" s="153"/>
      <c r="D6" s="52" t="s">
        <v>12</v>
      </c>
      <c r="E6" s="52" t="s">
        <v>3</v>
      </c>
      <c r="F6" s="191" t="s">
        <v>2</v>
      </c>
      <c r="G6" s="346"/>
      <c r="I6" s="94" t="s">
        <v>77</v>
      </c>
      <c r="J6" s="103" t="s">
        <v>5</v>
      </c>
      <c r="K6" s="2">
        <f>34+17+14</f>
        <v>65</v>
      </c>
      <c r="L6" s="50">
        <f>60+33+19</f>
        <v>112</v>
      </c>
      <c r="M6" s="2">
        <f>30+10+5</f>
        <v>45</v>
      </c>
      <c r="N6" s="2">
        <v>-39</v>
      </c>
      <c r="O6" s="2">
        <v>-30</v>
      </c>
      <c r="P6" s="2">
        <v>-20</v>
      </c>
      <c r="Q6" s="2"/>
      <c r="R6" s="2"/>
      <c r="S6" s="2"/>
      <c r="T6" s="2"/>
      <c r="U6" s="104">
        <f t="shared" si="0"/>
        <v>133</v>
      </c>
      <c r="X6">
        <f t="shared" ca="1" si="1"/>
        <v>0.7552207016495881</v>
      </c>
      <c r="Y6" t="s">
        <v>18</v>
      </c>
      <c r="Z6" s="266"/>
      <c r="AA6" s="266"/>
    </row>
    <row r="7" spans="1:27" ht="20.100000000000001" customHeight="1" thickBot="1" x14ac:dyDescent="0.3">
      <c r="A7" s="271"/>
      <c r="B7" s="151">
        <v>4</v>
      </c>
      <c r="C7" s="154" t="s">
        <v>93</v>
      </c>
      <c r="D7" s="64" t="s">
        <v>5</v>
      </c>
      <c r="E7" s="64" t="s">
        <v>19</v>
      </c>
      <c r="F7" s="192" t="s">
        <v>7</v>
      </c>
      <c r="G7" s="347"/>
      <c r="I7" s="94" t="s">
        <v>78</v>
      </c>
      <c r="J7" s="103" t="s">
        <v>93</v>
      </c>
      <c r="K7" s="2">
        <v>-17</v>
      </c>
      <c r="L7" s="2">
        <v>46</v>
      </c>
      <c r="M7" s="2">
        <v>-13</v>
      </c>
      <c r="N7" s="2">
        <v>-28</v>
      </c>
      <c r="O7" s="2">
        <v>-2</v>
      </c>
      <c r="P7" s="2">
        <f>69+20+29</f>
        <v>118</v>
      </c>
      <c r="Q7" s="2"/>
      <c r="R7" s="2"/>
      <c r="S7" s="2"/>
      <c r="T7" s="2"/>
      <c r="U7" s="104">
        <f t="shared" si="0"/>
        <v>104</v>
      </c>
      <c r="X7">
        <f t="shared" ca="1" si="1"/>
        <v>0.45087022000097432</v>
      </c>
      <c r="Y7" t="s">
        <v>7</v>
      </c>
    </row>
    <row r="8" spans="1:27" ht="20.100000000000001" customHeight="1" x14ac:dyDescent="0.25">
      <c r="A8" s="274" t="s">
        <v>29</v>
      </c>
      <c r="B8" s="121">
        <v>1</v>
      </c>
      <c r="C8" s="155" t="s">
        <v>8</v>
      </c>
      <c r="D8" s="156" t="s">
        <v>9</v>
      </c>
      <c r="E8" s="156" t="s">
        <v>75</v>
      </c>
      <c r="F8" s="193" t="s">
        <v>12</v>
      </c>
      <c r="G8" s="348"/>
      <c r="I8" s="94" t="s">
        <v>79</v>
      </c>
      <c r="J8" s="103" t="s">
        <v>3</v>
      </c>
      <c r="K8" s="2">
        <f>22+55</f>
        <v>77</v>
      </c>
      <c r="L8" s="50">
        <v>-60</v>
      </c>
      <c r="M8" s="2">
        <v>-5</v>
      </c>
      <c r="N8" s="2">
        <f>39+17+18</f>
        <v>74</v>
      </c>
      <c r="O8" s="2">
        <v>9</v>
      </c>
      <c r="P8" s="2">
        <v>-2</v>
      </c>
      <c r="Q8" s="2"/>
      <c r="R8" s="2"/>
      <c r="S8" s="2"/>
      <c r="T8" s="2"/>
      <c r="U8" s="105">
        <f t="shared" si="0"/>
        <v>93</v>
      </c>
      <c r="X8">
        <f t="shared" ca="1" si="1"/>
        <v>0.5666159948769518</v>
      </c>
      <c r="Y8" t="s">
        <v>22</v>
      </c>
    </row>
    <row r="9" spans="1:27" ht="20.100000000000001" customHeight="1" x14ac:dyDescent="0.25">
      <c r="A9" s="274"/>
      <c r="B9" s="122">
        <v>2</v>
      </c>
      <c r="C9" s="157" t="s">
        <v>5</v>
      </c>
      <c r="D9" s="131" t="s">
        <v>17</v>
      </c>
      <c r="E9" s="131" t="s">
        <v>7</v>
      </c>
      <c r="F9" s="194" t="s">
        <v>3</v>
      </c>
      <c r="G9" s="322"/>
      <c r="I9" s="94" t="s">
        <v>80</v>
      </c>
      <c r="J9" s="103" t="s">
        <v>8</v>
      </c>
      <c r="K9" s="2">
        <v>-78</v>
      </c>
      <c r="L9" s="2">
        <v>-15</v>
      </c>
      <c r="M9" s="2">
        <v>125</v>
      </c>
      <c r="N9" s="2">
        <v>-18</v>
      </c>
      <c r="O9" s="2">
        <v>-3</v>
      </c>
      <c r="P9" s="2">
        <v>74</v>
      </c>
      <c r="Q9" s="2"/>
      <c r="R9" s="2"/>
      <c r="S9" s="2"/>
      <c r="T9" s="2"/>
      <c r="U9" s="104">
        <f t="shared" si="0"/>
        <v>85</v>
      </c>
      <c r="X9">
        <f t="shared" ca="1" si="1"/>
        <v>0.26888722569051604</v>
      </c>
      <c r="Y9" t="s">
        <v>2</v>
      </c>
    </row>
    <row r="10" spans="1:27" ht="20.100000000000001" customHeight="1" x14ac:dyDescent="0.25">
      <c r="A10" s="274"/>
      <c r="B10" s="122">
        <v>3</v>
      </c>
      <c r="C10" s="157" t="s">
        <v>18</v>
      </c>
      <c r="D10" s="131" t="s">
        <v>93</v>
      </c>
      <c r="E10" s="131" t="s">
        <v>20</v>
      </c>
      <c r="F10" s="194"/>
      <c r="G10" s="322"/>
      <c r="I10" s="94" t="s">
        <v>81</v>
      </c>
      <c r="J10" s="106" t="s">
        <v>2</v>
      </c>
      <c r="K10" s="2">
        <v>-22</v>
      </c>
      <c r="L10" s="2">
        <f>4+40+47</f>
        <v>91</v>
      </c>
      <c r="M10" s="2">
        <v>-14</v>
      </c>
      <c r="N10" s="2">
        <v>-17</v>
      </c>
      <c r="O10" s="2">
        <v>-2</v>
      </c>
      <c r="P10" s="2">
        <f>30+2+12</f>
        <v>44</v>
      </c>
      <c r="Q10" s="2"/>
      <c r="R10" s="2"/>
      <c r="S10" s="2"/>
      <c r="T10" s="2"/>
      <c r="U10" s="104">
        <f t="shared" si="0"/>
        <v>80</v>
      </c>
      <c r="X10">
        <f t="shared" ca="1" si="1"/>
        <v>0.99681335606291865</v>
      </c>
      <c r="Y10" t="s">
        <v>75</v>
      </c>
    </row>
    <row r="11" spans="1:27" ht="20.100000000000001" customHeight="1" thickBot="1" x14ac:dyDescent="0.3">
      <c r="A11" s="274"/>
      <c r="B11" s="123">
        <v>4</v>
      </c>
      <c r="C11" s="158" t="s">
        <v>4</v>
      </c>
      <c r="D11" s="159" t="s">
        <v>19</v>
      </c>
      <c r="E11" s="159" t="s">
        <v>2</v>
      </c>
      <c r="F11" s="195" t="s">
        <v>21</v>
      </c>
      <c r="G11" s="322"/>
      <c r="I11" s="94" t="s">
        <v>82</v>
      </c>
      <c r="J11" s="103" t="s">
        <v>20</v>
      </c>
      <c r="K11" s="2">
        <v>-15</v>
      </c>
      <c r="L11" s="2">
        <v>-11</v>
      </c>
      <c r="M11" s="2">
        <v>-29</v>
      </c>
      <c r="N11" s="2">
        <f>66+17+18</f>
        <v>101</v>
      </c>
      <c r="O11" s="2">
        <v>-15</v>
      </c>
      <c r="P11" s="2">
        <f>19+8</f>
        <v>27</v>
      </c>
      <c r="Q11" s="2"/>
      <c r="R11" s="2"/>
      <c r="S11" s="2"/>
      <c r="T11" s="2"/>
      <c r="U11" s="104">
        <f t="shared" si="0"/>
        <v>58</v>
      </c>
      <c r="X11">
        <f t="shared" ca="1" si="1"/>
        <v>0.75560571721792702</v>
      </c>
      <c r="Y11" t="s">
        <v>93</v>
      </c>
    </row>
    <row r="12" spans="1:27" ht="20.100000000000001" customHeight="1" x14ac:dyDescent="0.25">
      <c r="A12" s="278" t="s">
        <v>30</v>
      </c>
      <c r="B12" s="125">
        <v>1</v>
      </c>
      <c r="C12" s="160" t="s">
        <v>19</v>
      </c>
      <c r="D12" s="161" t="s">
        <v>12</v>
      </c>
      <c r="E12" s="161"/>
      <c r="F12" s="196" t="s">
        <v>18</v>
      </c>
      <c r="G12" s="337"/>
      <c r="I12" s="94" t="s">
        <v>83</v>
      </c>
      <c r="J12" s="103" t="s">
        <v>4</v>
      </c>
      <c r="K12" s="2">
        <v>84</v>
      </c>
      <c r="L12" s="2">
        <v>-4</v>
      </c>
      <c r="M12" s="2">
        <v>-52</v>
      </c>
      <c r="N12" s="2">
        <v>-39</v>
      </c>
      <c r="O12" s="2">
        <f>42+2+15</f>
        <v>59</v>
      </c>
      <c r="P12" s="2">
        <v>-29</v>
      </c>
      <c r="Q12" s="2"/>
      <c r="R12" s="2"/>
      <c r="S12" s="2"/>
      <c r="T12" s="2"/>
      <c r="U12" s="104">
        <f t="shared" si="0"/>
        <v>19</v>
      </c>
      <c r="X12">
        <f t="shared" ca="1" si="1"/>
        <v>0.41587577550462052</v>
      </c>
      <c r="Y12" t="s">
        <v>4</v>
      </c>
    </row>
    <row r="13" spans="1:27" ht="20.100000000000001" customHeight="1" x14ac:dyDescent="0.25">
      <c r="A13" s="279"/>
      <c r="B13" s="126">
        <v>2</v>
      </c>
      <c r="C13" s="162" t="s">
        <v>9</v>
      </c>
      <c r="D13" s="132" t="s">
        <v>5</v>
      </c>
      <c r="E13" s="132" t="s">
        <v>7</v>
      </c>
      <c r="F13" s="197" t="s">
        <v>3</v>
      </c>
      <c r="G13" s="338"/>
      <c r="I13" s="94" t="s">
        <v>84</v>
      </c>
      <c r="J13" s="103" t="s">
        <v>7</v>
      </c>
      <c r="K13" s="2">
        <v>-14</v>
      </c>
      <c r="L13" s="50">
        <v>-19</v>
      </c>
      <c r="M13" s="2">
        <v>-10</v>
      </c>
      <c r="N13" s="2">
        <v>32</v>
      </c>
      <c r="O13" s="2">
        <v>-27</v>
      </c>
      <c r="P13" s="2">
        <v>-4</v>
      </c>
      <c r="Q13" s="100"/>
      <c r="R13" s="2"/>
      <c r="S13" s="2"/>
      <c r="T13" s="2"/>
      <c r="U13" s="105">
        <f t="shared" si="0"/>
        <v>-42</v>
      </c>
      <c r="X13">
        <f t="shared" ca="1" si="1"/>
        <v>0.75628366305914252</v>
      </c>
      <c r="Y13" t="s">
        <v>9</v>
      </c>
    </row>
    <row r="14" spans="1:27" ht="20.100000000000001" customHeight="1" x14ac:dyDescent="0.25">
      <c r="A14" s="279"/>
      <c r="B14" s="126">
        <v>3</v>
      </c>
      <c r="C14" s="162" t="s">
        <v>75</v>
      </c>
      <c r="D14" s="132" t="s">
        <v>93</v>
      </c>
      <c r="E14" s="132" t="s">
        <v>20</v>
      </c>
      <c r="F14" s="197" t="s">
        <v>21</v>
      </c>
      <c r="G14" s="338"/>
      <c r="I14" s="94" t="s">
        <v>85</v>
      </c>
      <c r="J14" s="103" t="s">
        <v>75</v>
      </c>
      <c r="K14" s="50">
        <v>-6</v>
      </c>
      <c r="L14" s="2">
        <v>21</v>
      </c>
      <c r="M14" s="2">
        <v>-9</v>
      </c>
      <c r="N14" s="2">
        <v>-18</v>
      </c>
      <c r="O14" s="2">
        <v>-1</v>
      </c>
      <c r="P14" s="2">
        <v>-29</v>
      </c>
      <c r="Q14" s="2"/>
      <c r="R14" s="2"/>
      <c r="S14" s="2"/>
      <c r="T14" s="2"/>
      <c r="U14" s="105">
        <f t="shared" si="0"/>
        <v>-42</v>
      </c>
      <c r="X14">
        <f t="shared" ca="1" si="1"/>
        <v>0.46275916942290596</v>
      </c>
      <c r="Y14" t="s">
        <v>3</v>
      </c>
    </row>
    <row r="15" spans="1:27" ht="20.100000000000001" customHeight="1" thickBot="1" x14ac:dyDescent="0.3">
      <c r="A15" s="280"/>
      <c r="B15" s="127">
        <v>4</v>
      </c>
      <c r="C15" s="163" t="s">
        <v>17</v>
      </c>
      <c r="D15" s="164" t="s">
        <v>4</v>
      </c>
      <c r="E15" s="164" t="s">
        <v>8</v>
      </c>
      <c r="F15" s="198" t="s">
        <v>2</v>
      </c>
      <c r="G15" s="339"/>
      <c r="I15" s="94" t="s">
        <v>86</v>
      </c>
      <c r="J15" s="103" t="s">
        <v>19</v>
      </c>
      <c r="K15" s="2">
        <v>-34</v>
      </c>
      <c r="L15" s="2">
        <v>-47</v>
      </c>
      <c r="M15" s="2">
        <v>-11</v>
      </c>
      <c r="N15" s="2">
        <v>-17</v>
      </c>
      <c r="O15" s="2">
        <f>27+30</f>
        <v>57</v>
      </c>
      <c r="P15" s="2">
        <v>-19</v>
      </c>
      <c r="Q15" s="2"/>
      <c r="R15" s="2"/>
      <c r="S15" s="2"/>
      <c r="T15" s="2"/>
      <c r="U15" s="104">
        <f t="shared" si="0"/>
        <v>-71</v>
      </c>
      <c r="X15">
        <f t="shared" ca="1" si="1"/>
        <v>0.52793957920727519</v>
      </c>
      <c r="Y15" t="s">
        <v>21</v>
      </c>
    </row>
    <row r="16" spans="1:27" ht="20.100000000000001" customHeight="1" x14ac:dyDescent="0.25">
      <c r="A16" s="283" t="s">
        <v>31</v>
      </c>
      <c r="B16" s="128">
        <v>1</v>
      </c>
      <c r="C16" s="165" t="s">
        <v>9</v>
      </c>
      <c r="D16" s="166" t="s">
        <v>20</v>
      </c>
      <c r="E16" s="166" t="s">
        <v>75</v>
      </c>
      <c r="F16" s="199" t="s">
        <v>2</v>
      </c>
      <c r="G16" s="340"/>
      <c r="I16" s="94" t="s">
        <v>87</v>
      </c>
      <c r="J16" s="103" t="s">
        <v>12</v>
      </c>
      <c r="K16" s="2">
        <v>-55</v>
      </c>
      <c r="L16" s="2">
        <v>-3</v>
      </c>
      <c r="M16" s="2">
        <v>-6</v>
      </c>
      <c r="N16" s="2">
        <v>-18</v>
      </c>
      <c r="O16" s="2">
        <v>-5</v>
      </c>
      <c r="P16" s="2">
        <v>-30</v>
      </c>
      <c r="Q16" s="2"/>
      <c r="R16" s="2"/>
      <c r="S16" s="2"/>
      <c r="T16" s="2"/>
      <c r="U16" s="104">
        <f t="shared" si="0"/>
        <v>-117</v>
      </c>
      <c r="X16">
        <f t="shared" ca="1" si="1"/>
        <v>4.148115641315453E-2</v>
      </c>
      <c r="Y16" t="s">
        <v>17</v>
      </c>
    </row>
    <row r="17" spans="1:25" ht="20.100000000000001" customHeight="1" x14ac:dyDescent="0.25">
      <c r="A17" s="283"/>
      <c r="B17" s="129">
        <v>2</v>
      </c>
      <c r="C17" s="167" t="s">
        <v>18</v>
      </c>
      <c r="D17" s="133" t="s">
        <v>21</v>
      </c>
      <c r="E17" s="133" t="s">
        <v>93</v>
      </c>
      <c r="F17" s="200" t="s">
        <v>4</v>
      </c>
      <c r="G17" s="341"/>
      <c r="I17" s="94" t="s">
        <v>88</v>
      </c>
      <c r="J17" s="103" t="s">
        <v>17</v>
      </c>
      <c r="K17" s="2">
        <v>0</v>
      </c>
      <c r="L17" s="2">
        <v>-33</v>
      </c>
      <c r="M17" s="2">
        <v>-59</v>
      </c>
      <c r="N17" s="2">
        <v>-14</v>
      </c>
      <c r="O17" s="2">
        <v>-47</v>
      </c>
      <c r="P17" s="2">
        <v>-41</v>
      </c>
      <c r="Q17" s="2"/>
      <c r="R17" s="2"/>
      <c r="S17" s="2"/>
      <c r="T17" s="2"/>
      <c r="U17" s="104">
        <f t="shared" si="0"/>
        <v>-194</v>
      </c>
      <c r="X17">
        <f t="shared" ca="1" si="1"/>
        <v>0.73526756794110815</v>
      </c>
      <c r="Y17" t="s">
        <v>12</v>
      </c>
    </row>
    <row r="18" spans="1:25" ht="20.100000000000001" customHeight="1" x14ac:dyDescent="0.25">
      <c r="A18" s="283"/>
      <c r="B18" s="129">
        <v>3</v>
      </c>
      <c r="C18" s="167" t="s">
        <v>5</v>
      </c>
      <c r="D18" s="133" t="s">
        <v>19</v>
      </c>
      <c r="E18" s="133" t="s">
        <v>3</v>
      </c>
      <c r="F18" s="200" t="s">
        <v>12</v>
      </c>
      <c r="G18" s="341"/>
      <c r="I18" s="94" t="s">
        <v>89</v>
      </c>
      <c r="J18" s="103" t="s">
        <v>18</v>
      </c>
      <c r="K18" s="2">
        <v>-53</v>
      </c>
      <c r="L18" s="2">
        <v>-35</v>
      </c>
      <c r="M18" s="2">
        <v>17</v>
      </c>
      <c r="N18" s="2">
        <f>21+39+28</f>
        <v>88</v>
      </c>
      <c r="O18" s="2">
        <v>-233</v>
      </c>
      <c r="P18" s="2">
        <v>-8</v>
      </c>
      <c r="Q18" s="2"/>
      <c r="R18" s="2"/>
      <c r="S18" s="2"/>
      <c r="T18" s="2"/>
      <c r="U18" s="104">
        <f t="shared" si="0"/>
        <v>-224</v>
      </c>
      <c r="X18">
        <f t="shared" ca="1" si="1"/>
        <v>0.80578499279091365</v>
      </c>
      <c r="Y18" t="s">
        <v>19</v>
      </c>
    </row>
    <row r="19" spans="1:25" ht="20.100000000000001" customHeight="1" thickBot="1" x14ac:dyDescent="0.3">
      <c r="A19" s="283"/>
      <c r="B19" s="130">
        <v>4</v>
      </c>
      <c r="C19" s="168" t="s">
        <v>17</v>
      </c>
      <c r="D19" s="169"/>
      <c r="E19" s="169" t="s">
        <v>8</v>
      </c>
      <c r="F19" s="201" t="s">
        <v>7</v>
      </c>
      <c r="G19" s="341"/>
      <c r="I19" s="94" t="s">
        <v>90</v>
      </c>
      <c r="J19" s="103" t="s">
        <v>9</v>
      </c>
      <c r="K19" s="2">
        <v>-25</v>
      </c>
      <c r="L19" s="2">
        <v>-3</v>
      </c>
      <c r="M19" s="2">
        <v>-30</v>
      </c>
      <c r="N19" s="2">
        <v>-66</v>
      </c>
      <c r="O19" s="2">
        <v>-42</v>
      </c>
      <c r="P19" s="2">
        <v>-69</v>
      </c>
      <c r="Q19" s="2"/>
      <c r="R19" s="2"/>
      <c r="S19" s="2"/>
      <c r="T19" s="2"/>
      <c r="U19" s="104">
        <f t="shared" si="0"/>
        <v>-235</v>
      </c>
      <c r="X19">
        <f t="shared" ca="1" si="1"/>
        <v>4.6521191797860295E-3</v>
      </c>
      <c r="Y19" t="s">
        <v>20</v>
      </c>
    </row>
    <row r="20" spans="1:25" ht="20.100000000000001" customHeight="1" x14ac:dyDescent="0.25">
      <c r="A20" s="287" t="s">
        <v>32</v>
      </c>
      <c r="B20" s="134">
        <v>1</v>
      </c>
      <c r="C20" s="170"/>
      <c r="D20" s="171" t="s">
        <v>19</v>
      </c>
      <c r="E20" s="171" t="s">
        <v>7</v>
      </c>
      <c r="F20" s="202" t="s">
        <v>5</v>
      </c>
      <c r="G20" s="342"/>
      <c r="I20" s="94"/>
      <c r="J20" s="103"/>
      <c r="K20" s="50"/>
      <c r="L20" s="2"/>
      <c r="M20" s="2"/>
      <c r="N20" s="2"/>
      <c r="O20" s="2"/>
      <c r="P20" s="2"/>
      <c r="Q20" s="2"/>
      <c r="R20" s="2"/>
      <c r="S20" s="2"/>
      <c r="T20" s="50">
        <v>-1000</v>
      </c>
      <c r="U20" s="105">
        <f t="shared" si="0"/>
        <v>-1000</v>
      </c>
      <c r="X20">
        <f t="shared" ca="1" si="1"/>
        <v>0.73842427636525343</v>
      </c>
      <c r="Y20" t="s">
        <v>5</v>
      </c>
    </row>
    <row r="21" spans="1:25" ht="20.100000000000001" customHeight="1" x14ac:dyDescent="0.25">
      <c r="A21" s="288"/>
      <c r="B21" s="135">
        <v>2</v>
      </c>
      <c r="C21" s="172" t="s">
        <v>93</v>
      </c>
      <c r="D21" s="137" t="s">
        <v>20</v>
      </c>
      <c r="E21" s="137" t="s">
        <v>9</v>
      </c>
      <c r="F21" s="203" t="s">
        <v>4</v>
      </c>
      <c r="G21" s="343"/>
      <c r="I21" s="94"/>
      <c r="J21" s="103"/>
      <c r="K21" s="2"/>
      <c r="L21" s="2"/>
      <c r="M21" s="2"/>
      <c r="N21" s="2"/>
      <c r="O21" s="2"/>
      <c r="P21" s="2"/>
      <c r="Q21" s="2"/>
      <c r="R21" s="2"/>
      <c r="S21" s="2"/>
      <c r="T21" s="2">
        <v>-1000</v>
      </c>
      <c r="U21" s="104">
        <f t="shared" si="0"/>
        <v>-1000</v>
      </c>
      <c r="X21">
        <f t="shared" ca="1" si="1"/>
        <v>0.8901240723867323</v>
      </c>
      <c r="Y21" s="37"/>
    </row>
    <row r="22" spans="1:25" ht="20.100000000000001" customHeight="1" x14ac:dyDescent="0.25">
      <c r="A22" s="288"/>
      <c r="B22" s="135">
        <v>3</v>
      </c>
      <c r="C22" s="172" t="s">
        <v>17</v>
      </c>
      <c r="D22" s="137" t="s">
        <v>18</v>
      </c>
      <c r="E22" s="137" t="s">
        <v>2</v>
      </c>
      <c r="F22" s="203" t="s">
        <v>21</v>
      </c>
      <c r="G22" s="343"/>
      <c r="I22" s="94"/>
      <c r="J22" s="103"/>
      <c r="K22" s="2"/>
      <c r="L22" s="2"/>
      <c r="M22" s="2"/>
      <c r="N22" s="2"/>
      <c r="O22" s="2"/>
      <c r="P22" s="2"/>
      <c r="Q22" s="2"/>
      <c r="R22" s="2"/>
      <c r="S22" s="2"/>
      <c r="T22" s="2">
        <v>-1000</v>
      </c>
      <c r="U22" s="104">
        <f t="shared" si="0"/>
        <v>-1000</v>
      </c>
      <c r="X22">
        <f t="shared" ca="1" si="1"/>
        <v>0.92419441907778743</v>
      </c>
    </row>
    <row r="23" spans="1:25" ht="20.100000000000001" customHeight="1" thickBot="1" x14ac:dyDescent="0.3">
      <c r="A23" s="289"/>
      <c r="B23" s="136">
        <v>4</v>
      </c>
      <c r="C23" s="173" t="s">
        <v>8</v>
      </c>
      <c r="D23" s="174" t="s">
        <v>12</v>
      </c>
      <c r="E23" s="174" t="s">
        <v>3</v>
      </c>
      <c r="F23" s="204" t="s">
        <v>75</v>
      </c>
      <c r="G23" s="344"/>
      <c r="I23" s="94"/>
      <c r="J23" s="107"/>
      <c r="K23" s="22"/>
      <c r="L23" s="22"/>
      <c r="M23" s="22"/>
      <c r="N23" s="22"/>
      <c r="O23" s="22"/>
      <c r="P23" s="22"/>
      <c r="Q23" s="22"/>
      <c r="R23" s="22"/>
      <c r="S23" s="22"/>
      <c r="T23" s="22">
        <v>-1000</v>
      </c>
      <c r="U23" s="108">
        <f t="shared" si="0"/>
        <v>-1000</v>
      </c>
      <c r="X23">
        <f t="shared" ca="1" si="1"/>
        <v>0.59438256544567414</v>
      </c>
    </row>
    <row r="24" spans="1:25" ht="20.100000000000001" customHeight="1" thickBot="1" x14ac:dyDescent="0.3">
      <c r="A24" s="291" t="s">
        <v>33</v>
      </c>
      <c r="B24" s="138">
        <v>1</v>
      </c>
      <c r="C24" s="175" t="s">
        <v>3</v>
      </c>
      <c r="D24" s="176" t="s">
        <v>21</v>
      </c>
      <c r="E24" s="176" t="s">
        <v>2</v>
      </c>
      <c r="F24" s="205" t="s">
        <v>12</v>
      </c>
      <c r="G24" s="333"/>
      <c r="I24" s="9"/>
    </row>
    <row r="25" spans="1:25" ht="20.100000000000001" customHeight="1" x14ac:dyDescent="0.25">
      <c r="A25" s="291"/>
      <c r="B25" s="139">
        <v>2</v>
      </c>
      <c r="C25" s="177" t="s">
        <v>9</v>
      </c>
      <c r="D25" s="144" t="s">
        <v>5</v>
      </c>
      <c r="E25" s="144" t="s">
        <v>93</v>
      </c>
      <c r="F25" s="206" t="s">
        <v>75</v>
      </c>
      <c r="G25" s="333"/>
      <c r="I25" s="9"/>
      <c r="J25" s="246" t="s">
        <v>106</v>
      </c>
      <c r="K25" s="247"/>
      <c r="L25" s="247"/>
      <c r="M25" s="247"/>
      <c r="N25" s="247"/>
      <c r="O25" s="247"/>
      <c r="P25" s="247"/>
      <c r="Q25" s="247"/>
      <c r="R25" s="248"/>
    </row>
    <row r="26" spans="1:25" ht="20.100000000000001" customHeight="1" x14ac:dyDescent="0.25">
      <c r="A26" s="291"/>
      <c r="B26" s="139">
        <v>3</v>
      </c>
      <c r="C26" s="177" t="s">
        <v>8</v>
      </c>
      <c r="D26" s="144" t="s">
        <v>17</v>
      </c>
      <c r="E26" s="144" t="s">
        <v>4</v>
      </c>
      <c r="F26" s="206" t="s">
        <v>7</v>
      </c>
      <c r="G26" s="333"/>
      <c r="I26" s="9"/>
      <c r="J26" s="249"/>
      <c r="K26" s="250"/>
      <c r="L26" s="250"/>
      <c r="M26" s="250"/>
      <c r="N26" s="250"/>
      <c r="O26" s="250"/>
      <c r="P26" s="250"/>
      <c r="Q26" s="250"/>
      <c r="R26" s="251"/>
      <c r="S26" s="9"/>
      <c r="U26" s="9"/>
    </row>
    <row r="27" spans="1:25" ht="20.100000000000001" customHeight="1" thickBot="1" x14ac:dyDescent="0.45">
      <c r="A27" s="291"/>
      <c r="B27" s="140">
        <v>4</v>
      </c>
      <c r="C27" s="178" t="s">
        <v>18</v>
      </c>
      <c r="D27" s="179" t="s">
        <v>20</v>
      </c>
      <c r="E27" s="179" t="s">
        <v>19</v>
      </c>
      <c r="F27" s="207"/>
      <c r="G27" s="333"/>
      <c r="I27" s="9"/>
      <c r="J27" s="32"/>
      <c r="K27" s="33"/>
      <c r="L27" s="33"/>
      <c r="M27" s="33"/>
      <c r="N27" s="95" t="s">
        <v>76</v>
      </c>
      <c r="O27" s="33"/>
      <c r="P27" s="33"/>
      <c r="Q27" s="33"/>
      <c r="R27" s="34"/>
    </row>
    <row r="28" spans="1:25" ht="20.100000000000001" customHeight="1" x14ac:dyDescent="0.25">
      <c r="A28" s="295" t="s">
        <v>34</v>
      </c>
      <c r="B28" s="141">
        <v>1</v>
      </c>
      <c r="C28" s="180" t="s">
        <v>21</v>
      </c>
      <c r="D28" s="181"/>
      <c r="E28" s="181" t="s">
        <v>17</v>
      </c>
      <c r="F28" s="208" t="s">
        <v>2</v>
      </c>
      <c r="G28" s="334"/>
      <c r="I28" s="9"/>
      <c r="J28" s="32"/>
      <c r="K28" s="33"/>
      <c r="L28" s="33"/>
      <c r="M28" s="298" t="str">
        <f>$J$5</f>
        <v>Sune</v>
      </c>
      <c r="N28" s="299"/>
      <c r="O28" s="300"/>
      <c r="P28" s="33"/>
      <c r="Q28" s="33"/>
      <c r="R28" s="34"/>
    </row>
    <row r="29" spans="1:25" ht="20.100000000000001" customHeight="1" thickBot="1" x14ac:dyDescent="0.45">
      <c r="A29" s="296"/>
      <c r="B29" s="142">
        <v>2</v>
      </c>
      <c r="C29" s="182" t="s">
        <v>9</v>
      </c>
      <c r="D29" s="145" t="s">
        <v>19</v>
      </c>
      <c r="E29" s="145" t="s">
        <v>75</v>
      </c>
      <c r="F29" s="209" t="s">
        <v>18</v>
      </c>
      <c r="G29" s="335"/>
      <c r="I29" s="9"/>
      <c r="J29" s="32"/>
      <c r="K29" s="95" t="s">
        <v>77</v>
      </c>
      <c r="L29" s="33"/>
      <c r="M29" s="301"/>
      <c r="N29" s="302"/>
      <c r="O29" s="303"/>
      <c r="P29" s="33"/>
      <c r="Q29" s="95" t="s">
        <v>78</v>
      </c>
      <c r="R29" s="34"/>
    </row>
    <row r="30" spans="1:25" ht="20.100000000000001" customHeight="1" x14ac:dyDescent="0.25">
      <c r="A30" s="296"/>
      <c r="B30" s="142">
        <v>3</v>
      </c>
      <c r="C30" s="182" t="s">
        <v>8</v>
      </c>
      <c r="D30" s="145" t="s">
        <v>12</v>
      </c>
      <c r="E30" s="145" t="s">
        <v>93</v>
      </c>
      <c r="F30" s="209" t="s">
        <v>5</v>
      </c>
      <c r="G30" s="335"/>
      <c r="I30" s="9"/>
      <c r="J30" s="232" t="str">
        <f>$J$6</f>
        <v>Gitte</v>
      </c>
      <c r="K30" s="233"/>
      <c r="L30" s="234"/>
      <c r="M30" s="33"/>
      <c r="N30" s="33"/>
      <c r="O30" s="33"/>
      <c r="P30" s="304" t="str">
        <f>$J$7</f>
        <v>Jakob</v>
      </c>
      <c r="Q30" s="305"/>
      <c r="R30" s="306"/>
    </row>
    <row r="31" spans="1:25" ht="20.100000000000001" customHeight="1" thickBot="1" x14ac:dyDescent="0.3">
      <c r="A31" s="297"/>
      <c r="B31" s="143">
        <v>4</v>
      </c>
      <c r="C31" s="183" t="s">
        <v>20</v>
      </c>
      <c r="D31" s="184" t="s">
        <v>4</v>
      </c>
      <c r="E31" s="184" t="s">
        <v>7</v>
      </c>
      <c r="F31" s="210" t="s">
        <v>3</v>
      </c>
      <c r="G31" s="336"/>
      <c r="I31" s="9"/>
      <c r="J31" s="235"/>
      <c r="K31" s="236"/>
      <c r="L31" s="237"/>
      <c r="M31" s="35"/>
      <c r="N31" s="35"/>
      <c r="O31" s="35"/>
      <c r="P31" s="307"/>
      <c r="Q31" s="308"/>
      <c r="R31" s="309"/>
    </row>
    <row r="32" spans="1:25" ht="20.100000000000001" customHeight="1" x14ac:dyDescent="0.25">
      <c r="A32" s="312" t="s">
        <v>35</v>
      </c>
      <c r="B32" s="146">
        <v>1</v>
      </c>
      <c r="C32" s="185" t="s">
        <v>8</v>
      </c>
      <c r="D32" s="186" t="s">
        <v>17</v>
      </c>
      <c r="E32" s="186" t="s">
        <v>7</v>
      </c>
      <c r="F32" s="211" t="s">
        <v>19</v>
      </c>
      <c r="G32" s="321"/>
      <c r="I32" s="9"/>
    </row>
    <row r="33" spans="1:9" ht="20.100000000000001" customHeight="1" x14ac:dyDescent="0.25">
      <c r="A33" s="274"/>
      <c r="B33" s="122">
        <v>2</v>
      </c>
      <c r="C33" s="187" t="s">
        <v>2</v>
      </c>
      <c r="D33" s="124" t="s">
        <v>9</v>
      </c>
      <c r="E33" s="124" t="s">
        <v>21</v>
      </c>
      <c r="F33" s="212"/>
      <c r="G33" s="322"/>
      <c r="I33" s="9"/>
    </row>
    <row r="34" spans="1:9" ht="20.100000000000001" customHeight="1" x14ac:dyDescent="0.25">
      <c r="A34" s="274"/>
      <c r="B34" s="122">
        <v>3</v>
      </c>
      <c r="C34" s="187" t="s">
        <v>3</v>
      </c>
      <c r="D34" s="124" t="s">
        <v>20</v>
      </c>
      <c r="E34" s="124" t="s">
        <v>4</v>
      </c>
      <c r="F34" s="212" t="s">
        <v>75</v>
      </c>
      <c r="G34" s="322"/>
      <c r="I34" s="9"/>
    </row>
    <row r="35" spans="1:9" ht="20.100000000000001" customHeight="1" thickBot="1" x14ac:dyDescent="0.3">
      <c r="A35" s="313"/>
      <c r="B35" s="147">
        <v>4</v>
      </c>
      <c r="C35" s="188" t="s">
        <v>12</v>
      </c>
      <c r="D35" s="189" t="s">
        <v>93</v>
      </c>
      <c r="E35" s="189" t="s">
        <v>18</v>
      </c>
      <c r="F35" s="213" t="s">
        <v>5</v>
      </c>
      <c r="G35" s="323"/>
      <c r="I35" s="9"/>
    </row>
    <row r="36" spans="1:9" ht="20.100000000000001" customHeight="1" x14ac:dyDescent="0.25">
      <c r="A36" s="317" t="s">
        <v>36</v>
      </c>
      <c r="B36" s="115">
        <v>1</v>
      </c>
      <c r="C36" s="148"/>
      <c r="D36" s="148"/>
      <c r="E36" s="148"/>
      <c r="F36" s="214"/>
      <c r="G36" s="324"/>
      <c r="I36" s="9"/>
    </row>
    <row r="37" spans="1:9" ht="20.100000000000001" customHeight="1" x14ac:dyDescent="0.25">
      <c r="A37" s="318"/>
      <c r="B37" s="117">
        <v>2</v>
      </c>
      <c r="C37" s="118"/>
      <c r="D37" s="118"/>
      <c r="E37" s="118"/>
      <c r="F37" s="215"/>
      <c r="G37" s="325"/>
    </row>
    <row r="38" spans="1:9" ht="20.100000000000001" customHeight="1" x14ac:dyDescent="0.25">
      <c r="A38" s="318"/>
      <c r="B38" s="117">
        <v>3</v>
      </c>
      <c r="C38" s="118"/>
      <c r="D38" s="118"/>
      <c r="E38" s="118"/>
      <c r="F38" s="215"/>
      <c r="G38" s="325"/>
    </row>
    <row r="39" spans="1:9" ht="20.100000000000001" customHeight="1" thickBot="1" x14ac:dyDescent="0.3">
      <c r="A39" s="319"/>
      <c r="B39" s="119">
        <v>4</v>
      </c>
      <c r="C39" s="120"/>
      <c r="D39" s="120"/>
      <c r="E39" s="120"/>
      <c r="F39" s="216"/>
      <c r="G39" s="326"/>
    </row>
    <row r="40" spans="1:9" ht="20.100000000000001" customHeight="1" x14ac:dyDescent="0.25">
      <c r="A40" s="330" t="s">
        <v>38</v>
      </c>
      <c r="B40" s="217">
        <v>1</v>
      </c>
      <c r="C40" s="218"/>
      <c r="D40" s="218"/>
      <c r="E40" s="218"/>
      <c r="F40" s="219"/>
      <c r="G40" s="327"/>
    </row>
    <row r="41" spans="1:9" ht="20.100000000000001" customHeight="1" x14ac:dyDescent="0.25">
      <c r="A41" s="331"/>
      <c r="B41" s="220">
        <v>2</v>
      </c>
      <c r="C41" s="221"/>
      <c r="D41" s="222"/>
      <c r="E41" s="222"/>
      <c r="F41" s="223"/>
      <c r="G41" s="328"/>
    </row>
    <row r="42" spans="1:9" ht="20.100000000000001" customHeight="1" x14ac:dyDescent="0.25">
      <c r="A42" s="331"/>
      <c r="B42" s="220">
        <v>3</v>
      </c>
      <c r="C42" s="221"/>
      <c r="D42" s="222"/>
      <c r="E42" s="222"/>
      <c r="F42" s="224"/>
      <c r="G42" s="328"/>
    </row>
    <row r="43" spans="1:9" ht="20.100000000000001" customHeight="1" thickBot="1" x14ac:dyDescent="0.3">
      <c r="A43" s="332"/>
      <c r="B43" s="225">
        <v>4</v>
      </c>
      <c r="C43" s="226"/>
      <c r="D43" s="227"/>
      <c r="E43" s="227"/>
      <c r="F43" s="228"/>
      <c r="G43" s="329"/>
    </row>
    <row r="44" spans="1:9" ht="19.5" customHeight="1" x14ac:dyDescent="0.25"/>
    <row r="47" spans="1:9" ht="20.100000000000001" customHeight="1" x14ac:dyDescent="0.25">
      <c r="B47" s="37"/>
    </row>
    <row r="48" spans="1:9" ht="20.100000000000001" customHeight="1" x14ac:dyDescent="0.25">
      <c r="B48" s="37"/>
    </row>
  </sheetData>
  <sortState xmlns:xlrd2="http://schemas.microsoft.com/office/spreadsheetml/2017/richdata2" ref="J5:U23">
    <sortCondition descending="1" ref="U5"/>
  </sortState>
  <mergeCells count="26">
    <mergeCell ref="J3:U3"/>
    <mergeCell ref="Z3:AA6"/>
    <mergeCell ref="G4:G7"/>
    <mergeCell ref="A4:A7"/>
    <mergeCell ref="G8:G11"/>
    <mergeCell ref="A8:A11"/>
    <mergeCell ref="G12:G15"/>
    <mergeCell ref="A12:A15"/>
    <mergeCell ref="G16:G19"/>
    <mergeCell ref="A16:A19"/>
    <mergeCell ref="G20:G23"/>
    <mergeCell ref="A20:A23"/>
    <mergeCell ref="G24:G27"/>
    <mergeCell ref="A24:A27"/>
    <mergeCell ref="J25:R26"/>
    <mergeCell ref="G28:G31"/>
    <mergeCell ref="A28:A31"/>
    <mergeCell ref="M28:O29"/>
    <mergeCell ref="J30:L31"/>
    <mergeCell ref="P30:R31"/>
    <mergeCell ref="G32:G35"/>
    <mergeCell ref="A32:A35"/>
    <mergeCell ref="G36:G39"/>
    <mergeCell ref="A36:A39"/>
    <mergeCell ref="G40:G43"/>
    <mergeCell ref="A40:A43"/>
  </mergeCells>
  <conditionalFormatting sqref="K5:U23">
    <cfRule type="cellIs" dxfId="2" priority="1" stopIfTrue="1" operator="greaterThan">
      <formula>0</formula>
    </cfRule>
    <cfRule type="cellIs" dxfId="1" priority="2" stopIfTrue="1" operator="lessThan">
      <formula>0</formula>
    </cfRule>
    <cfRule type="cellIs" dxfId="0" priority="3" stopIfTrue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pdater">
                <anchor moveWithCells="1">
                  <from>
                    <xdr:col>18</xdr:col>
                    <xdr:colOff>297180</xdr:colOff>
                    <xdr:row>26</xdr:row>
                    <xdr:rowOff>76200</xdr:rowOff>
                  </from>
                  <to>
                    <xdr:col>20</xdr:col>
                    <xdr:colOff>510540</xdr:colOff>
                    <xdr:row>28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4"/>
  <dimension ref="A1:H21"/>
  <sheetViews>
    <sheetView zoomScale="90" zoomScaleNormal="90" workbookViewId="0">
      <selection activeCell="B18" sqref="B18"/>
    </sheetView>
  </sheetViews>
  <sheetFormatPr defaultRowHeight="13.2" x14ac:dyDescent="0.25"/>
  <cols>
    <col min="1" max="1" width="5.77734375" customWidth="1"/>
  </cols>
  <sheetData>
    <row r="1" spans="1:8" ht="22.8" x14ac:dyDescent="0.4">
      <c r="A1" s="37"/>
      <c r="B1" s="350" t="s">
        <v>69</v>
      </c>
      <c r="C1" s="350"/>
      <c r="D1" s="350"/>
      <c r="E1" s="350"/>
      <c r="F1" s="350"/>
      <c r="G1" s="350"/>
      <c r="H1" s="350"/>
    </row>
    <row r="3" spans="1:8" ht="25.5" customHeight="1" x14ac:dyDescent="0.25">
      <c r="A3" s="40" t="s">
        <v>57</v>
      </c>
      <c r="B3" s="351" t="s">
        <v>51</v>
      </c>
      <c r="C3" s="351"/>
      <c r="D3" s="351"/>
      <c r="E3" s="351"/>
      <c r="F3" s="351"/>
      <c r="G3" s="351"/>
      <c r="H3" s="351"/>
    </row>
    <row r="4" spans="1:8" ht="15.6" x14ac:dyDescent="0.3">
      <c r="A4" s="41"/>
      <c r="B4" s="38"/>
      <c r="C4" s="38"/>
      <c r="D4" s="38"/>
      <c r="E4" s="38"/>
      <c r="F4" s="38"/>
      <c r="G4" s="38"/>
      <c r="H4" s="38"/>
    </row>
    <row r="5" spans="1:8" ht="15.6" x14ac:dyDescent="0.25">
      <c r="A5" s="40" t="s">
        <v>57</v>
      </c>
      <c r="B5" s="349" t="s">
        <v>52</v>
      </c>
      <c r="C5" s="349"/>
      <c r="D5" s="349"/>
      <c r="E5" s="349"/>
      <c r="F5" s="349"/>
      <c r="G5" s="349"/>
      <c r="H5" s="349"/>
    </row>
    <row r="6" spans="1:8" ht="15.6" x14ac:dyDescent="0.3">
      <c r="A6" s="41"/>
      <c r="B6" s="38"/>
      <c r="C6" s="38"/>
      <c r="D6" s="38"/>
      <c r="E6" s="38"/>
      <c r="F6" s="38"/>
      <c r="G6" s="38"/>
      <c r="H6" s="38"/>
    </row>
    <row r="7" spans="1:8" ht="15.6" x14ac:dyDescent="0.25">
      <c r="A7" s="40" t="s">
        <v>57</v>
      </c>
      <c r="B7" s="349" t="s">
        <v>53</v>
      </c>
      <c r="C7" s="349"/>
      <c r="D7" s="349"/>
      <c r="E7" s="349"/>
      <c r="F7" s="349"/>
      <c r="G7" s="349"/>
      <c r="H7" s="349"/>
    </row>
    <row r="8" spans="1:8" ht="15.6" x14ac:dyDescent="0.3">
      <c r="A8" s="41"/>
      <c r="B8" s="38"/>
      <c r="C8" s="38"/>
      <c r="D8" s="38"/>
      <c r="E8" s="38"/>
      <c r="F8" s="38"/>
      <c r="G8" s="38"/>
      <c r="H8" s="38"/>
    </row>
    <row r="9" spans="1:8" ht="15.6" x14ac:dyDescent="0.25">
      <c r="A9" s="40" t="s">
        <v>57</v>
      </c>
      <c r="B9" s="349" t="s">
        <v>54</v>
      </c>
      <c r="C9" s="349"/>
      <c r="D9" s="349"/>
      <c r="E9" s="349"/>
      <c r="F9" s="349"/>
      <c r="G9" s="349"/>
      <c r="H9" s="349"/>
    </row>
    <row r="10" spans="1:8" ht="15.6" x14ac:dyDescent="0.3">
      <c r="A10" s="41"/>
      <c r="B10" s="38"/>
      <c r="C10" s="38"/>
      <c r="D10" s="38"/>
      <c r="E10" s="38"/>
      <c r="F10" s="38"/>
      <c r="G10" s="38"/>
      <c r="H10" s="38"/>
    </row>
    <row r="11" spans="1:8" ht="25.5" customHeight="1" x14ac:dyDescent="0.25">
      <c r="A11" s="40" t="s">
        <v>57</v>
      </c>
      <c r="B11" s="351" t="s">
        <v>55</v>
      </c>
      <c r="C11" s="351"/>
      <c r="D11" s="351"/>
      <c r="E11" s="351"/>
      <c r="F11" s="351"/>
      <c r="G11" s="351"/>
      <c r="H11" s="351"/>
    </row>
    <row r="12" spans="1:8" ht="15.6" x14ac:dyDescent="0.3">
      <c r="A12" s="41"/>
      <c r="B12" s="38"/>
      <c r="C12" s="38"/>
      <c r="D12" s="38"/>
      <c r="E12" s="38"/>
      <c r="F12" s="38"/>
      <c r="G12" s="38"/>
      <c r="H12" s="38"/>
    </row>
    <row r="13" spans="1:8" ht="25.5" customHeight="1" x14ac:dyDescent="0.25">
      <c r="A13" s="40" t="s">
        <v>57</v>
      </c>
      <c r="B13" s="351" t="s">
        <v>68</v>
      </c>
      <c r="C13" s="351"/>
      <c r="D13" s="351"/>
      <c r="E13" s="351"/>
      <c r="F13" s="351"/>
      <c r="G13" s="351"/>
      <c r="H13" s="351"/>
    </row>
    <row r="14" spans="1:8" ht="15.6" x14ac:dyDescent="0.3">
      <c r="A14" s="41"/>
      <c r="B14" s="38"/>
      <c r="C14" s="38"/>
      <c r="D14" s="38"/>
      <c r="E14" s="38"/>
      <c r="F14" s="38"/>
      <c r="G14" s="38"/>
      <c r="H14" s="38"/>
    </row>
    <row r="15" spans="1:8" ht="15.6" x14ac:dyDescent="0.25">
      <c r="A15" s="40" t="s">
        <v>57</v>
      </c>
      <c r="B15" s="349" t="s">
        <v>56</v>
      </c>
      <c r="C15" s="349"/>
      <c r="D15" s="349"/>
      <c r="E15" s="349"/>
      <c r="F15" s="349"/>
      <c r="G15" s="349"/>
      <c r="H15" s="349"/>
    </row>
    <row r="16" spans="1:8" ht="15.6" x14ac:dyDescent="0.3">
      <c r="A16" s="41"/>
      <c r="B16" s="38"/>
      <c r="C16" s="38"/>
      <c r="D16" s="38"/>
      <c r="E16" s="38"/>
      <c r="F16" s="38"/>
      <c r="G16" s="38"/>
      <c r="H16" s="38"/>
    </row>
    <row r="17" spans="1:8" ht="15.6" x14ac:dyDescent="0.25">
      <c r="A17" s="40" t="s">
        <v>57</v>
      </c>
      <c r="B17" s="39" t="s">
        <v>67</v>
      </c>
      <c r="C17" s="39"/>
      <c r="D17" s="39"/>
      <c r="E17" s="39"/>
      <c r="F17" s="39"/>
      <c r="G17" s="39"/>
      <c r="H17" s="39"/>
    </row>
    <row r="18" spans="1:8" ht="15.6" x14ac:dyDescent="0.3">
      <c r="A18" s="41"/>
      <c r="B18" s="38"/>
      <c r="C18" s="38"/>
      <c r="D18" s="38"/>
      <c r="E18" s="38"/>
      <c r="F18" s="38"/>
      <c r="G18" s="38"/>
      <c r="H18" s="38"/>
    </row>
    <row r="19" spans="1:8" ht="51" customHeight="1" x14ac:dyDescent="0.25">
      <c r="A19" s="40" t="s">
        <v>57</v>
      </c>
      <c r="B19" s="351" t="s">
        <v>58</v>
      </c>
      <c r="C19" s="351"/>
      <c r="D19" s="351"/>
      <c r="E19" s="351"/>
      <c r="F19" s="351"/>
      <c r="G19" s="351"/>
      <c r="H19" s="351"/>
    </row>
    <row r="21" spans="1:8" ht="15.6" x14ac:dyDescent="0.25">
      <c r="A21" s="40" t="s">
        <v>57</v>
      </c>
      <c r="B21" s="37" t="s">
        <v>70</v>
      </c>
    </row>
  </sheetData>
  <mergeCells count="9">
    <mergeCell ref="B15:H15"/>
    <mergeCell ref="B1:H1"/>
    <mergeCell ref="B19:H19"/>
    <mergeCell ref="B3:H3"/>
    <mergeCell ref="B5:H5"/>
    <mergeCell ref="B7:H7"/>
    <mergeCell ref="B9:H9"/>
    <mergeCell ref="B11:H11"/>
    <mergeCell ref="B13:H1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8</vt:i4>
      </vt:variant>
    </vt:vector>
  </HeadingPairs>
  <TitlesOfParts>
    <vt:vector size="8" baseType="lpstr">
      <vt:lpstr>2009</vt:lpstr>
      <vt:lpstr>2011</vt:lpstr>
      <vt:lpstr>2012</vt:lpstr>
      <vt:lpstr>2015</vt:lpstr>
      <vt:lpstr>2018</vt:lpstr>
      <vt:lpstr>2022</vt:lpstr>
      <vt:lpstr>2023</vt:lpstr>
      <vt:lpstr>Regler</vt:lpstr>
    </vt:vector>
  </TitlesOfParts>
  <Company>BST Nord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</dc:creator>
  <cp:lastModifiedBy>Natasja Nielsen</cp:lastModifiedBy>
  <cp:lastPrinted>2012-05-27T14:30:33Z</cp:lastPrinted>
  <dcterms:created xsi:type="dcterms:W3CDTF">2003-02-27T18:42:21Z</dcterms:created>
  <dcterms:modified xsi:type="dcterms:W3CDTF">2024-01-19T19:21:52Z</dcterms:modified>
</cp:coreProperties>
</file>